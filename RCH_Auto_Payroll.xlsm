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0" yWindow="0" windowWidth="20085" windowHeight="5280"/>
  </bookViews>
  <sheets>
    <sheet name="UserInput" sheetId="2" r:id="rId1"/>
    <sheet name="PAYROLL" sheetId="39" r:id="rId2"/>
    <sheet name="REPORTS" sheetId="95" r:id="rId3"/>
    <sheet name="Tracking" sheetId="32" r:id="rId4"/>
    <sheet name="Tracking1" sheetId="92" r:id="rId5"/>
    <sheet name="Tracking2" sheetId="93" r:id="rId6"/>
    <sheet name="Tracking3" sheetId="94" r:id="rId7"/>
    <sheet name="EQLogs" sheetId="70" r:id="rId8"/>
    <sheet name="Reference" sheetId="28" r:id="rId9"/>
  </sheets>
  <functionGroups builtInGroupCount="17"/>
  <definedNames>
    <definedName name="_xlnm._FilterDatabase" localSheetId="3" hidden="1">Tracking!#REF!</definedName>
    <definedName name="tblPayroll">PAYROLL!$A$1:$I$29</definedName>
  </definedNames>
  <calcPr calcId="145621"/>
</workbook>
</file>

<file path=xl/calcChain.xml><?xml version="1.0" encoding="utf-8"?>
<calcChain xmlns="http://schemas.openxmlformats.org/spreadsheetml/2006/main">
  <c r="Z7" i="95" l="1"/>
  <c r="X7" i="95"/>
  <c r="U7" i="95"/>
  <c r="T7" i="95"/>
  <c r="AA6" i="95"/>
  <c r="V7" i="95" l="1"/>
  <c r="AA7" i="95"/>
  <c r="Y7" i="95"/>
  <c r="W7" i="95"/>
  <c r="G7" i="95" l="1"/>
  <c r="H6" i="95" l="1"/>
  <c r="D6" i="95"/>
  <c r="F6" i="95" l="1"/>
  <c r="P6" i="95"/>
  <c r="R6" i="95" s="1"/>
  <c r="Q7" i="95"/>
  <c r="O7" i="95"/>
  <c r="N7" i="95"/>
  <c r="M7" i="95"/>
  <c r="L7" i="95"/>
  <c r="J7" i="95"/>
  <c r="I7" i="95"/>
  <c r="E7" i="95"/>
  <c r="H7" i="95" s="1"/>
  <c r="C7" i="95"/>
  <c r="B7" i="95"/>
  <c r="D7" i="95" l="1"/>
  <c r="F7" i="95" s="1"/>
  <c r="K7" i="95"/>
  <c r="P7" i="95"/>
  <c r="R7" i="95" s="1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4" i="28"/>
  <c r="B5" i="28"/>
  <c r="B3" i="28"/>
  <c r="AP4" i="28" l="1"/>
  <c r="AS4" i="28"/>
  <c r="AR4" i="28"/>
  <c r="AQ4" i="28"/>
  <c r="AN4" i="28" l="1"/>
  <c r="AM4" i="28"/>
  <c r="AL4" i="28"/>
  <c r="AK4" i="28"/>
  <c r="AJ4" i="28"/>
  <c r="AI4" i="28"/>
  <c r="AH4" i="28"/>
  <c r="X4" i="28"/>
  <c r="W4" i="28"/>
  <c r="V4" i="28"/>
  <c r="U4" i="28"/>
  <c r="T4" i="28"/>
  <c r="S4" i="28"/>
  <c r="R4" i="28"/>
  <c r="P4" i="28"/>
  <c r="O4" i="28"/>
  <c r="N4" i="28"/>
  <c r="M4" i="28"/>
  <c r="L4" i="28"/>
  <c r="K4" i="28"/>
  <c r="J4" i="28"/>
  <c r="AF4" i="28"/>
  <c r="AE4" i="28"/>
  <c r="AD4" i="28"/>
  <c r="AC4" i="28"/>
  <c r="AB4" i="28"/>
  <c r="AA4" i="28"/>
  <c r="Z4" i="28"/>
  <c r="F25" i="39" l="1"/>
  <c r="F27" i="39" l="1"/>
  <c r="F26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E3" i="28" l="1"/>
  <c r="E5" i="28" l="1"/>
  <c r="E4" i="28"/>
  <c r="E7" i="28"/>
  <c r="E6" i="28"/>
  <c r="E8" i="28" s="1"/>
  <c r="E9" i="28" s="1"/>
  <c r="E10" i="28" s="1"/>
  <c r="E11" i="28" s="1"/>
  <c r="E12" i="28" s="1"/>
  <c r="E13" i="28" s="1"/>
  <c r="E14" i="28" s="1"/>
  <c r="AN3" i="28" l="1"/>
  <c r="AJ3" i="28"/>
  <c r="AE3" i="28"/>
  <c r="AA3" i="28"/>
  <c r="V3" i="28"/>
  <c r="R3" i="28"/>
  <c r="M3" i="28"/>
  <c r="L3" i="28"/>
  <c r="AM3" i="28"/>
  <c r="AI3" i="28"/>
  <c r="AD3" i="28"/>
  <c r="Z3" i="28"/>
  <c r="U3" i="28"/>
  <c r="P3" i="28"/>
  <c r="AL3" i="28"/>
  <c r="AH3" i="28"/>
  <c r="AC3" i="28"/>
  <c r="X3" i="28"/>
  <c r="T3" i="28"/>
  <c r="O3" i="28"/>
  <c r="K3" i="28"/>
  <c r="AK3" i="28"/>
  <c r="AF3" i="28"/>
  <c r="AB3" i="28"/>
  <c r="W3" i="28"/>
  <c r="S3" i="28"/>
  <c r="N3" i="28"/>
  <c r="J3" i="28"/>
</calcChain>
</file>

<file path=xl/sharedStrings.xml><?xml version="1.0" encoding="utf-8"?>
<sst xmlns="http://schemas.openxmlformats.org/spreadsheetml/2006/main" count="212" uniqueCount="167">
  <si>
    <t>INVOICE WEEK NUMBER:</t>
  </si>
  <si>
    <t>EMPLOYEE 1 TECH NUMBER:</t>
  </si>
  <si>
    <t>EMPLOYEE 2 TECH NUMBER:</t>
  </si>
  <si>
    <t>EMPLOYEE 3 TECH NUMBER:</t>
  </si>
  <si>
    <t>EMPLOYEE 4 TECH NUMBER:</t>
  </si>
  <si>
    <t>EMPLOYEE 5 TECH NUMBER:</t>
  </si>
  <si>
    <t>EMPLOYEE 6 TECH NUMBER:</t>
  </si>
  <si>
    <t>EMPLOYEE 7 TECH NUMBER:</t>
  </si>
  <si>
    <t>EMPLOYEE 8 TECH NUMBER:</t>
  </si>
  <si>
    <t>EMPLOYEE 9 TECH NUMBER:</t>
  </si>
  <si>
    <t>EMPLOYEE 10 TECH NUMBER:</t>
  </si>
  <si>
    <t>Pool</t>
  </si>
  <si>
    <t>EMPLOYEE 11 TECH NUMBER:</t>
  </si>
  <si>
    <t>EMPLOYEE 12 TECH NUMBER:</t>
  </si>
  <si>
    <t>EMPLOYEE 13 TECH NUMBER:</t>
  </si>
  <si>
    <t>Number</t>
  </si>
  <si>
    <t>Monday</t>
  </si>
  <si>
    <t>Tuesday</t>
  </si>
  <si>
    <t>Wednesday</t>
  </si>
  <si>
    <t>Thursday</t>
  </si>
  <si>
    <t>Friday</t>
  </si>
  <si>
    <t>Saturday</t>
  </si>
  <si>
    <t>Sunday</t>
  </si>
  <si>
    <t>TechNbr1</t>
  </si>
  <si>
    <t>TechNbr2</t>
  </si>
  <si>
    <t>TechNbr3</t>
  </si>
  <si>
    <t>TechNbr4</t>
  </si>
  <si>
    <t>TechNbr5</t>
  </si>
  <si>
    <t>TechNbr6</t>
  </si>
  <si>
    <t>TechNbr7</t>
  </si>
  <si>
    <t>TechNbr8</t>
  </si>
  <si>
    <t>TechNbr9</t>
  </si>
  <si>
    <t>TechNbr10</t>
  </si>
  <si>
    <t>TechNbr11</t>
  </si>
  <si>
    <t>TechNbr12</t>
  </si>
  <si>
    <t>TechNbr13</t>
  </si>
  <si>
    <t>TechNbr14</t>
  </si>
  <si>
    <t>TechNbr15</t>
  </si>
  <si>
    <t>TechNbr16</t>
  </si>
  <si>
    <t>TechNbr17</t>
  </si>
  <si>
    <t>TechNbr18</t>
  </si>
  <si>
    <t>TechNbr19</t>
  </si>
  <si>
    <t>TechNbr20</t>
  </si>
  <si>
    <t>Dates by Week Number</t>
  </si>
  <si>
    <t>Included Work Issue by Week Number</t>
  </si>
  <si>
    <t>Starting Date</t>
  </si>
  <si>
    <t>Ending Date</t>
  </si>
  <si>
    <t>Issue1 (Old)</t>
  </si>
  <si>
    <t>Issue2 (Old)</t>
  </si>
  <si>
    <t>Issue3 (New)</t>
  </si>
  <si>
    <t>LastClosed</t>
  </si>
  <si>
    <t>**DateValue stored as text.  Convert cell format to "Date" to see normal date format</t>
  </si>
  <si>
    <t>Issue1</t>
  </si>
  <si>
    <t>Issue2</t>
  </si>
  <si>
    <t>Issue3</t>
  </si>
  <si>
    <t>LastClosedIssue</t>
  </si>
  <si>
    <t>invoiceWeek</t>
  </si>
  <si>
    <t>Column1</t>
  </si>
  <si>
    <t>EmployeeCount</t>
  </si>
  <si>
    <t>Production Recap</t>
  </si>
  <si>
    <t>TOTAL</t>
  </si>
  <si>
    <t>Number of Jobs Issued:</t>
  </si>
  <si>
    <t>Save Rate: (Saves/Issued)</t>
  </si>
  <si>
    <t>Number of Cancels:</t>
  </si>
  <si>
    <t>Field Save Rate: (Net Cancels)</t>
  </si>
  <si>
    <t>Number of Saves:</t>
  </si>
  <si>
    <t>All-In Save Rate:</t>
  </si>
  <si>
    <t>Number of UTC:</t>
  </si>
  <si>
    <t>Bad Debt Old Issue</t>
  </si>
  <si>
    <t>Bad Debt New Issue</t>
  </si>
  <si>
    <t>Bad Debt Cancel</t>
  </si>
  <si>
    <t/>
  </si>
  <si>
    <t>HD - HD/DVR</t>
  </si>
  <si>
    <t>Standard Digital</t>
  </si>
  <si>
    <t>EMTA/MTA</t>
  </si>
  <si>
    <t>Router, Modem</t>
  </si>
  <si>
    <t>Home Security TS</t>
  </si>
  <si>
    <t>Cable Card</t>
  </si>
  <si>
    <t>Analog</t>
  </si>
  <si>
    <t>All Others</t>
  </si>
  <si>
    <t>NP Disco (Old)</t>
  </si>
  <si>
    <t>NP Disco (New)</t>
  </si>
  <si>
    <t>OLD ISSUE: Saves</t>
  </si>
  <si>
    <t>OLD ISSUE: Discos</t>
  </si>
  <si>
    <t>NEW ISSUE: Saves</t>
  </si>
  <si>
    <t>NEW ISSUE: Discos</t>
  </si>
  <si>
    <t>Orders Issued</t>
  </si>
  <si>
    <t>RS/Dups Other</t>
  </si>
  <si>
    <t>Net Issued</t>
  </si>
  <si>
    <t>Saves (Ct)</t>
  </si>
  <si>
    <t>Tech ID:</t>
  </si>
  <si>
    <t>Tech Name:</t>
  </si>
  <si>
    <t>ROUTER</t>
  </si>
  <si>
    <t>HD</t>
  </si>
  <si>
    <t>EMTA</t>
  </si>
  <si>
    <t>STAND</t>
  </si>
  <si>
    <t>EQUIPMENT RETRIEVED</t>
  </si>
  <si>
    <t>(Includes Everything on Equipment Log!)</t>
  </si>
  <si>
    <t>EMPLOYEE 14 TECH NUMBER:</t>
  </si>
  <si>
    <t>EMPLOYEE 15 TECH NUMBER:</t>
  </si>
  <si>
    <t>EMPLOYEE 16 TECH NUMBER:</t>
  </si>
  <si>
    <t>EMPLOYEE 17 TECH NUMBER:</t>
  </si>
  <si>
    <t>EMPLOYEE 18 TECH NUMBER:</t>
  </si>
  <si>
    <t>EMPLOYEE 19 TECH NUMBER:</t>
  </si>
  <si>
    <t>EMPLOYEE 20 TECH NUMBER:</t>
  </si>
  <si>
    <t>Tech Info</t>
  </si>
  <si>
    <t>dateMon</t>
  </si>
  <si>
    <t>dateTues</t>
  </si>
  <si>
    <t>dateWeds</t>
  </si>
  <si>
    <t>dateThurs</t>
  </si>
  <si>
    <t>dateFri</t>
  </si>
  <si>
    <t>dateSat</t>
  </si>
  <si>
    <t>dateSun</t>
  </si>
  <si>
    <t>Dates</t>
  </si>
  <si>
    <t>1.</t>
  </si>
  <si>
    <t>2.</t>
  </si>
  <si>
    <t>3.</t>
  </si>
  <si>
    <t>a)</t>
  </si>
  <si>
    <t>Issue Date</t>
  </si>
  <si>
    <t>Turn-In Date</t>
  </si>
  <si>
    <t>Tech ID</t>
  </si>
  <si>
    <t>Saves (%)</t>
  </si>
  <si>
    <t>Avg per Save</t>
  </si>
  <si>
    <t>EQ Assn'd</t>
  </si>
  <si>
    <t>CPE Ret'd</t>
  </si>
  <si>
    <t>CPE           %</t>
  </si>
  <si>
    <t>Prem Dig</t>
  </si>
  <si>
    <t>Std Dig</t>
  </si>
  <si>
    <t>eMTA   MTA</t>
  </si>
  <si>
    <t>Home Sec</t>
  </si>
  <si>
    <t>To Be Disco'd</t>
  </si>
  <si>
    <t>Discos Done</t>
  </si>
  <si>
    <t>Disco         %</t>
  </si>
  <si>
    <t>b)</t>
  </si>
  <si>
    <t>c)</t>
  </si>
  <si>
    <t>Paste the contents into this workbook into the sheet labeled "Tracking1"</t>
  </si>
  <si>
    <r>
      <t xml:space="preserve">(This can be done by selecting cell "A1" and pressing </t>
    </r>
    <r>
      <rPr>
        <b/>
        <sz val="16"/>
        <color theme="1"/>
        <rFont val="Calibri"/>
        <family val="2"/>
        <scheme val="minor"/>
      </rPr>
      <t>ctrl-v</t>
    </r>
    <r>
      <rPr>
        <sz val="16"/>
        <color theme="1"/>
        <rFont val="Calibri"/>
        <family val="2"/>
        <scheme val="minor"/>
      </rPr>
      <t>)</t>
    </r>
  </si>
  <si>
    <t>d)</t>
  </si>
  <si>
    <t>Repeat for the other two tracking files.  Paste them into the sheets "Tracking2" and "Tracking3"</t>
  </si>
  <si>
    <t>**DO NOT CHANGE ANYTHING ABOUT HER SPREADSHEETS BEFORE DOING THIS**</t>
  </si>
  <si>
    <t>Copy &amp; Paste Equipment Logs Into This Workbook</t>
  </si>
  <si>
    <t>Follow the same instructions for copying/pasting tracking, but paste the contents into sheet "EQLogs"</t>
  </si>
  <si>
    <t>Fill In The Yellow Boxes In The Table On The Right</t>
  </si>
  <si>
    <t>Enter the week number and tech numbers you want included in this report</t>
  </si>
  <si>
    <t>**THE MACRO STOPS WHEN IT GETS TO A BLANK CELL IN THIS LIST.  DON'T LEAVE BLANKS BETWEEN TECHS**</t>
  </si>
  <si>
    <t>Press the Button!</t>
  </si>
  <si>
    <t>4.</t>
  </si>
  <si>
    <t>Copy the contents of the entire "Tech Tracker" worksheet</t>
  </si>
  <si>
    <t>INSTRUCTIONS FOR RUNNING THIS MACRO</t>
  </si>
  <si>
    <t>Open one of the three tracking spreadsheets Bernice sent you for this payroll</t>
  </si>
  <si>
    <t>Copy &amp; Paste Tracking Data Into This Workbook</t>
  </si>
  <si>
    <r>
      <t xml:space="preserve">(This can be done by selecting a cell in the spreadsheet, pressing </t>
    </r>
    <r>
      <rPr>
        <b/>
        <sz val="16"/>
        <color theme="1"/>
        <rFont val="Calibri"/>
        <family val="2"/>
        <scheme val="minor"/>
      </rPr>
      <t>ctrl-a</t>
    </r>
    <r>
      <rPr>
        <sz val="16"/>
        <color theme="1"/>
        <rFont val="Calibri"/>
        <family val="2"/>
        <scheme val="minor"/>
      </rPr>
      <t xml:space="preserve"> and then </t>
    </r>
    <r>
      <rPr>
        <b/>
        <sz val="16"/>
        <color theme="1"/>
        <rFont val="Calibri"/>
        <family val="2"/>
        <scheme val="minor"/>
      </rPr>
      <t>ctrl-c</t>
    </r>
    <r>
      <rPr>
        <sz val="16"/>
        <color theme="1"/>
        <rFont val="Calibri"/>
        <family val="2"/>
        <scheme val="minor"/>
      </rPr>
      <t>)</t>
    </r>
  </si>
  <si>
    <t>Saves ($)</t>
  </si>
  <si>
    <t>Post-Disco Collection Report</t>
  </si>
  <si>
    <t>Production Summary Report</t>
  </si>
  <si>
    <t>Issue        Date</t>
  </si>
  <si>
    <t>Turn In       Date</t>
  </si>
  <si>
    <t>Premium Digital</t>
  </si>
  <si>
    <t>Standard  Digital</t>
  </si>
  <si>
    <t>eMTA      MTA</t>
  </si>
  <si>
    <t>Modem/ Router</t>
  </si>
  <si>
    <t>Home Security</t>
  </si>
  <si>
    <t>Total</t>
  </si>
  <si>
    <t>TechID</t>
  </si>
  <si>
    <t>Invoice Week</t>
  </si>
  <si>
    <t>****These data cannot yet be determined****</t>
  </si>
  <si>
    <t>You do not need to include a bulk tech ID.  This will automatically be included in the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</si>
</sst>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\$* #,##0.00_);_(\$* \(#,##0.00\);_(\$* \-??_);_(@_)"/>
    <numFmt numFmtId="165" formatCode="&quot;$&quot;#,##0.00"/>
    <numFmt numFmtId="166" formatCode="dddd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7"/>
      <name val="Arial Narrow"/>
      <family val="2"/>
    </font>
    <font>
      <b/>
      <sz val="8"/>
      <name val="Arial"/>
      <family val="2"/>
    </font>
    <font>
      <u/>
      <sz val="8.25"/>
      <color indexed="12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56"/>
      <name val="Calibri"/>
      <family val="2"/>
    </font>
    <font>
      <sz val="12"/>
      <name val="Calibri"/>
      <family val="2"/>
    </font>
    <font>
      <b/>
      <sz val="12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 style="medium">
        <color theme="1"/>
      </right>
      <top style="medium">
        <color theme="1"/>
      </top>
      <bottom/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/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medium">
        <color indexed="64"/>
      </right>
      <top/>
      <bottom style="medium">
        <color theme="1"/>
      </bottom>
      <diagonal/>
    </border>
    <border>
      <left style="thin">
        <color indexed="64"/>
      </left>
      <right/>
      <top/>
      <bottom style="medium">
        <color theme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7" fillId="0" borderId="3" applyNumberFormat="0" applyFill="0" applyBorder="0" applyProtection="0">
      <alignment horizontal="center"/>
    </xf>
    <xf numFmtId="0" fontId="7" fillId="0" borderId="0" applyNumberFormat="0" applyFill="0" applyBorder="0" applyProtection="0">
      <alignment horizontal="center"/>
    </xf>
    <xf numFmtId="0" fontId="7" fillId="0" borderId="3" applyNumberFormat="0" applyFill="0" applyBorder="0" applyProtection="0">
      <alignment horizontal="center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2" fillId="0" borderId="0" applyNumberForma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6" fillId="0" borderId="0" applyNumberFormat="0" applyFill="0" applyBorder="0" applyAlignment="0" applyProtection="0">
      <alignment horizontal="center"/>
    </xf>
    <xf numFmtId="0" fontId="6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7" applyNumberFormat="0" applyFill="0" applyAlignment="0" applyProtection="0"/>
    <xf numFmtId="0" fontId="20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23" borderId="8" applyNumberFormat="0" applyAlignment="0" applyProtection="0"/>
    <xf numFmtId="0" fontId="21" fillId="20" borderId="9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2" fillId="0" borderId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23" fillId="0" borderId="0" applyNumberFormat="0" applyFill="0" applyBorder="0" applyAlignment="0" applyProtection="0"/>
    <xf numFmtId="44" fontId="36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vertical="top" wrapText="1"/>
    </xf>
    <xf numFmtId="0" fontId="24" fillId="0" borderId="0" xfId="0" applyFont="1"/>
    <xf numFmtId="0" fontId="24" fillId="0" borderId="11" xfId="0" applyFont="1" applyBorder="1" applyAlignment="1">
      <alignment horizontal="right"/>
    </xf>
    <xf numFmtId="0" fontId="24" fillId="0" borderId="11" xfId="0" applyFont="1" applyFill="1" applyBorder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0" fillId="0" borderId="0" xfId="0"/>
    <xf numFmtId="0" fontId="25" fillId="0" borderId="0" xfId="0" applyFont="1" applyFill="1" applyBorder="1" applyAlignment="1">
      <alignment horizontal="left"/>
    </xf>
    <xf numFmtId="49" fontId="24" fillId="0" borderId="11" xfId="0" applyNumberFormat="1" applyFont="1" applyBorder="1"/>
    <xf numFmtId="49" fontId="24" fillId="0" borderId="19" xfId="0" applyNumberFormat="1" applyFont="1" applyBorder="1"/>
    <xf numFmtId="49" fontId="24" fillId="0" borderId="26" xfId="0" applyNumberFormat="1" applyFont="1" applyBorder="1"/>
    <xf numFmtId="49" fontId="24" fillId="0" borderId="13" xfId="0" applyNumberFormat="1" applyFont="1" applyBorder="1"/>
    <xf numFmtId="0" fontId="25" fillId="25" borderId="22" xfId="0" applyFont="1" applyFill="1" applyBorder="1" applyAlignment="1">
      <alignment horizontal="center"/>
    </xf>
    <xf numFmtId="0" fontId="25" fillId="25" borderId="23" xfId="0" applyFont="1" applyFill="1" applyBorder="1" applyAlignment="1">
      <alignment horizontal="center"/>
    </xf>
    <xf numFmtId="0" fontId="25" fillId="25" borderId="24" xfId="0" applyFont="1" applyFill="1" applyBorder="1" applyAlignment="1">
      <alignment horizontal="center"/>
    </xf>
    <xf numFmtId="49" fontId="24" fillId="0" borderId="20" xfId="0" applyNumberFormat="1" applyFont="1" applyBorder="1" applyAlignment="1">
      <alignment horizontal="center"/>
    </xf>
    <xf numFmtId="49" fontId="24" fillId="0" borderId="25" xfId="0" applyNumberFormat="1" applyFont="1" applyBorder="1" applyAlignment="1">
      <alignment horizontal="center"/>
    </xf>
    <xf numFmtId="14" fontId="24" fillId="0" borderId="0" xfId="0" applyNumberFormat="1" applyFont="1" applyFill="1" applyBorder="1" applyAlignment="1">
      <alignment horizontal="center"/>
    </xf>
    <xf numFmtId="44" fontId="24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" fontId="24" fillId="0" borderId="11" xfId="0" applyNumberFormat="1" applyFont="1" applyFill="1" applyBorder="1" applyAlignment="1">
      <alignment horizontal="center"/>
    </xf>
    <xf numFmtId="49" fontId="0" fillId="0" borderId="0" xfId="0" applyNumberFormat="1" applyFont="1" applyFill="1"/>
    <xf numFmtId="14" fontId="24" fillId="0" borderId="11" xfId="0" applyNumberFormat="1" applyFont="1" applyFill="1" applyBorder="1" applyAlignment="1">
      <alignment horizontal="right"/>
    </xf>
    <xf numFmtId="0" fontId="26" fillId="0" borderId="0" xfId="0" applyFont="1" applyAlignment="1" applyProtection="1">
      <alignment wrapText="1"/>
    </xf>
    <xf numFmtId="0" fontId="26" fillId="0" borderId="0" xfId="0" applyFont="1" applyProtection="1"/>
    <xf numFmtId="0" fontId="26" fillId="0" borderId="0" xfId="0" applyFont="1" applyAlignment="1" applyProtection="1"/>
    <xf numFmtId="0" fontId="27" fillId="0" borderId="0" xfId="0" applyFont="1" applyProtection="1"/>
    <xf numFmtId="0" fontId="25" fillId="0" borderId="0" xfId="0" applyFont="1" applyFill="1"/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/>
    </xf>
    <xf numFmtId="0" fontId="0" fillId="0" borderId="0" xfId="0" applyFill="1"/>
    <xf numFmtId="0" fontId="25" fillId="29" borderId="27" xfId="0" applyFont="1" applyFill="1" applyBorder="1"/>
    <xf numFmtId="0" fontId="25" fillId="29" borderId="46" xfId="0" applyFont="1" applyFill="1" applyBorder="1"/>
    <xf numFmtId="0" fontId="25" fillId="29" borderId="47" xfId="0" applyFont="1" applyFill="1" applyBorder="1"/>
    <xf numFmtId="0" fontId="1" fillId="32" borderId="42" xfId="0" applyFont="1" applyFill="1" applyBorder="1" applyAlignment="1">
      <alignment horizontal="center" vertical="center"/>
    </xf>
    <xf numFmtId="14" fontId="1" fillId="32" borderId="45" xfId="0" applyNumberFormat="1" applyFont="1" applyFill="1" applyBorder="1" applyAlignment="1">
      <alignment horizontal="center"/>
    </xf>
    <xf numFmtId="0" fontId="1" fillId="32" borderId="48" xfId="0" applyFont="1" applyFill="1" applyBorder="1" applyAlignment="1">
      <alignment horizontal="center" vertical="center"/>
    </xf>
    <xf numFmtId="14" fontId="1" fillId="32" borderId="29" xfId="0" applyNumberFormat="1" applyFont="1" applyFill="1" applyBorder="1" applyAlignment="1">
      <alignment horizontal="center"/>
    </xf>
    <xf numFmtId="0" fontId="1" fillId="32" borderId="49" xfId="0" applyFont="1" applyFill="1" applyBorder="1" applyAlignment="1">
      <alignment horizontal="center" vertical="center"/>
    </xf>
    <xf numFmtId="14" fontId="1" fillId="32" borderId="50" xfId="0" applyNumberFormat="1" applyFont="1" applyFill="1" applyBorder="1" applyAlignment="1">
      <alignment horizontal="center"/>
    </xf>
    <xf numFmtId="0" fontId="25" fillId="30" borderId="27" xfId="0" applyFont="1" applyFill="1" applyBorder="1"/>
    <xf numFmtId="0" fontId="25" fillId="30" borderId="46" xfId="0" applyFont="1" applyFill="1" applyBorder="1"/>
    <xf numFmtId="0" fontId="25" fillId="30" borderId="47" xfId="0" applyFont="1" applyFill="1" applyBorder="1"/>
    <xf numFmtId="0" fontId="1" fillId="31" borderId="42" xfId="0" applyFont="1" applyFill="1" applyBorder="1" applyAlignment="1">
      <alignment horizontal="center" vertical="center"/>
    </xf>
    <xf numFmtId="14" fontId="1" fillId="31" borderId="45" xfId="0" applyNumberFormat="1" applyFont="1" applyFill="1" applyBorder="1" applyAlignment="1">
      <alignment horizontal="center"/>
    </xf>
    <xf numFmtId="0" fontId="1" fillId="31" borderId="48" xfId="0" applyFont="1" applyFill="1" applyBorder="1" applyAlignment="1">
      <alignment horizontal="center" vertical="center"/>
    </xf>
    <xf numFmtId="14" fontId="1" fillId="31" borderId="29" xfId="0" applyNumberFormat="1" applyFont="1" applyFill="1" applyBorder="1" applyAlignment="1">
      <alignment horizontal="center"/>
    </xf>
    <xf numFmtId="0" fontId="1" fillId="31" borderId="51" xfId="0" applyFont="1" applyFill="1" applyBorder="1" applyAlignment="1">
      <alignment horizontal="center" vertical="center"/>
    </xf>
    <xf numFmtId="14" fontId="1" fillId="31" borderId="52" xfId="0" applyNumberFormat="1" applyFont="1" applyFill="1" applyBorder="1" applyAlignment="1">
      <alignment horizontal="center"/>
    </xf>
    <xf numFmtId="0" fontId="29" fillId="0" borderId="0" xfId="0" applyFont="1" applyProtection="1"/>
    <xf numFmtId="0" fontId="27" fillId="28" borderId="32" xfId="0" applyFont="1" applyFill="1" applyBorder="1" applyAlignment="1" applyProtection="1">
      <alignment horizontal="center" wrapText="1"/>
    </xf>
    <xf numFmtId="166" fontId="29" fillId="28" borderId="34" xfId="0" applyNumberFormat="1" applyFont="1" applyFill="1" applyBorder="1" applyAlignment="1" applyProtection="1">
      <alignment horizontal="center" wrapText="1"/>
    </xf>
    <xf numFmtId="166" fontId="29" fillId="28" borderId="35" xfId="0" applyNumberFormat="1" applyFont="1" applyFill="1" applyBorder="1" applyAlignment="1" applyProtection="1">
      <alignment horizontal="center" wrapText="1"/>
    </xf>
    <xf numFmtId="0" fontId="29" fillId="28" borderId="32" xfId="0" applyFont="1" applyFill="1" applyBorder="1" applyAlignment="1" applyProtection="1">
      <alignment horizontal="center" wrapText="1"/>
    </xf>
    <xf numFmtId="0" fontId="29" fillId="0" borderId="36" xfId="0" applyFont="1" applyBorder="1" applyAlignment="1" applyProtection="1">
      <alignment horizontal="center" wrapText="1"/>
    </xf>
    <xf numFmtId="44" fontId="30" fillId="0" borderId="18" xfId="32" applyFont="1" applyFill="1" applyBorder="1" applyAlignment="1" applyProtection="1">
      <alignment horizontal="center" wrapText="1"/>
      <protection locked="0"/>
    </xf>
    <xf numFmtId="44" fontId="30" fillId="0" borderId="37" xfId="32" applyFont="1" applyFill="1" applyBorder="1" applyAlignment="1" applyProtection="1">
      <alignment horizontal="center" wrapText="1"/>
      <protection locked="0"/>
    </xf>
    <xf numFmtId="44" fontId="30" fillId="0" borderId="17" xfId="32" applyFont="1" applyFill="1" applyBorder="1" applyAlignment="1" applyProtection="1">
      <alignment horizontal="center" wrapText="1"/>
      <protection locked="0"/>
    </xf>
    <xf numFmtId="44" fontId="30" fillId="28" borderId="43" xfId="32" applyFont="1" applyFill="1" applyBorder="1" applyAlignment="1" applyProtection="1">
      <alignment horizontal="center" wrapText="1"/>
    </xf>
    <xf numFmtId="165" fontId="30" fillId="0" borderId="12" xfId="32" applyNumberFormat="1" applyFont="1" applyFill="1" applyBorder="1" applyAlignment="1" applyProtection="1">
      <alignment horizontal="center" wrapText="1"/>
      <protection locked="0"/>
    </xf>
    <xf numFmtId="165" fontId="30" fillId="0" borderId="19" xfId="32" applyNumberFormat="1" applyFont="1" applyFill="1" applyBorder="1" applyAlignment="1" applyProtection="1">
      <alignment horizontal="center" wrapText="1"/>
      <protection locked="0"/>
    </xf>
    <xf numFmtId="165" fontId="30" fillId="0" borderId="14" xfId="32" applyNumberFormat="1" applyFont="1" applyFill="1" applyBorder="1" applyAlignment="1" applyProtection="1">
      <alignment horizontal="center" wrapText="1"/>
      <protection locked="0"/>
    </xf>
    <xf numFmtId="44" fontId="30" fillId="28" borderId="44" xfId="32" applyFont="1" applyFill="1" applyBorder="1" applyAlignment="1" applyProtection="1">
      <alignment horizontal="center" wrapText="1"/>
    </xf>
    <xf numFmtId="1" fontId="31" fillId="0" borderId="12" xfId="32" applyNumberFormat="1" applyFont="1" applyFill="1" applyBorder="1" applyAlignment="1" applyProtection="1">
      <alignment horizontal="center" wrapText="1"/>
      <protection locked="0"/>
    </xf>
    <xf numFmtId="1" fontId="31" fillId="0" borderId="19" xfId="32" applyNumberFormat="1" applyFont="1" applyFill="1" applyBorder="1" applyAlignment="1" applyProtection="1">
      <alignment horizontal="center" wrapText="1"/>
      <protection locked="0"/>
    </xf>
    <xf numFmtId="1" fontId="31" fillId="0" borderId="14" xfId="32" applyNumberFormat="1" applyFont="1" applyFill="1" applyBorder="1" applyAlignment="1" applyProtection="1">
      <alignment horizontal="center" wrapText="1"/>
      <protection locked="0"/>
    </xf>
    <xf numFmtId="1" fontId="30" fillId="28" borderId="44" xfId="32" applyNumberFormat="1" applyFont="1" applyFill="1" applyBorder="1" applyAlignment="1" applyProtection="1">
      <alignment horizontal="center" wrapText="1"/>
    </xf>
    <xf numFmtId="1" fontId="31" fillId="0" borderId="12" xfId="0" applyNumberFormat="1" applyFont="1" applyFill="1" applyBorder="1" applyAlignment="1" applyProtection="1">
      <alignment horizontal="center" wrapText="1"/>
      <protection locked="0"/>
    </xf>
    <xf numFmtId="1" fontId="31" fillId="0" borderId="19" xfId="0" applyNumberFormat="1" applyFont="1" applyFill="1" applyBorder="1" applyAlignment="1" applyProtection="1">
      <alignment horizontal="center" wrapText="1"/>
      <protection locked="0"/>
    </xf>
    <xf numFmtId="1" fontId="31" fillId="0" borderId="14" xfId="0" applyNumberFormat="1" applyFont="1" applyFill="1" applyBorder="1" applyAlignment="1" applyProtection="1">
      <alignment horizontal="center" wrapText="1"/>
      <protection locked="0"/>
    </xf>
    <xf numFmtId="1" fontId="31" fillId="0" borderId="29" xfId="0" applyNumberFormat="1" applyFont="1" applyFill="1" applyBorder="1" applyAlignment="1" applyProtection="1">
      <alignment horizontal="center" wrapText="1"/>
      <protection locked="0"/>
    </xf>
    <xf numFmtId="1" fontId="31" fillId="0" borderId="39" xfId="0" applyNumberFormat="1" applyFont="1" applyFill="1" applyBorder="1" applyAlignment="1" applyProtection="1">
      <alignment horizontal="center" wrapText="1"/>
      <protection locked="0"/>
    </xf>
    <xf numFmtId="1" fontId="31" fillId="0" borderId="40" xfId="0" applyNumberFormat="1" applyFont="1" applyFill="1" applyBorder="1" applyAlignment="1" applyProtection="1">
      <alignment horizontal="center" wrapText="1"/>
      <protection locked="0"/>
    </xf>
    <xf numFmtId="1" fontId="30" fillId="28" borderId="45" xfId="32" applyNumberFormat="1" applyFont="1" applyFill="1" applyBorder="1" applyAlignment="1" applyProtection="1">
      <alignment horizontal="center" wrapText="1"/>
    </xf>
    <xf numFmtId="0" fontId="27" fillId="28" borderId="27" xfId="0" applyFont="1" applyFill="1" applyBorder="1" applyAlignment="1" applyProtection="1">
      <alignment horizontal="center" wrapText="1"/>
    </xf>
    <xf numFmtId="0" fontId="32" fillId="28" borderId="41" xfId="0" applyFont="1" applyFill="1" applyBorder="1" applyAlignment="1" applyProtection="1">
      <alignment horizontal="center" wrapText="1"/>
    </xf>
    <xf numFmtId="0" fontId="27" fillId="28" borderId="45" xfId="0" applyFont="1" applyFill="1" applyBorder="1" applyAlignment="1" applyProtection="1">
      <alignment horizontal="center" wrapText="1"/>
    </xf>
    <xf numFmtId="0" fontId="27" fillId="0" borderId="0" xfId="0" applyFont="1" applyFill="1" applyBorder="1" applyAlignment="1" applyProtection="1">
      <alignment horizontal="center" wrapText="1"/>
    </xf>
    <xf numFmtId="1" fontId="31" fillId="0" borderId="0" xfId="0" applyNumberFormat="1" applyFont="1" applyFill="1" applyBorder="1" applyAlignment="1" applyProtection="1">
      <alignment horizontal="center" wrapText="1"/>
    </xf>
    <xf numFmtId="0" fontId="27" fillId="0" borderId="0" xfId="0" applyFont="1" applyAlignment="1" applyProtection="1">
      <alignment horizontal="right"/>
    </xf>
    <xf numFmtId="0" fontId="27" fillId="0" borderId="0" xfId="0" applyFont="1" applyAlignment="1" applyProtection="1"/>
    <xf numFmtId="0" fontId="27" fillId="0" borderId="0" xfId="0" applyFont="1" applyAlignment="1" applyProtection="1">
      <alignment horizontal="right" indent="1"/>
    </xf>
    <xf numFmtId="10" fontId="27" fillId="0" borderId="38" xfId="79" applyNumberFormat="1" applyFont="1" applyBorder="1" applyAlignment="1" applyProtection="1">
      <alignment horizontal="center"/>
    </xf>
    <xf numFmtId="10" fontId="27" fillId="0" borderId="28" xfId="79" applyNumberFormat="1" applyFont="1" applyBorder="1" applyAlignment="1" applyProtection="1">
      <alignment horizontal="center"/>
    </xf>
    <xf numFmtId="10" fontId="27" fillId="0" borderId="30" xfId="79" applyNumberFormat="1" applyFont="1" applyBorder="1" applyAlignment="1" applyProtection="1">
      <alignment horizontal="center"/>
    </xf>
    <xf numFmtId="0" fontId="29" fillId="28" borderId="27" xfId="0" applyFont="1" applyFill="1" applyBorder="1" applyAlignment="1" applyProtection="1">
      <alignment horizontal="center"/>
    </xf>
    <xf numFmtId="0" fontId="29" fillId="28" borderId="33" xfId="0" applyFont="1" applyFill="1" applyBorder="1" applyAlignment="1" applyProtection="1">
      <alignment horizontal="center"/>
    </xf>
    <xf numFmtId="0" fontId="29" fillId="28" borderId="42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right"/>
    </xf>
    <xf numFmtId="165" fontId="1" fillId="24" borderId="34" xfId="0" applyNumberFormat="1" applyFont="1" applyFill="1" applyBorder="1" applyAlignment="1">
      <alignment horizontal="right"/>
    </xf>
    <xf numFmtId="165" fontId="1" fillId="24" borderId="35" xfId="0" applyNumberFormat="1" applyFont="1" applyFill="1" applyBorder="1" applyAlignment="1">
      <alignment horizontal="right"/>
    </xf>
    <xf numFmtId="165" fontId="1" fillId="24" borderId="47" xfId="0" applyNumberFormat="1" applyFont="1" applyFill="1" applyBorder="1" applyAlignment="1">
      <alignment horizontal="right"/>
    </xf>
    <xf numFmtId="165" fontId="1" fillId="24" borderId="34" xfId="0" applyNumberFormat="1" applyFont="1" applyFill="1" applyBorder="1" applyAlignment="1">
      <alignment horizontal="center"/>
    </xf>
    <xf numFmtId="165" fontId="1" fillId="24" borderId="35" xfId="0" applyNumberFormat="1" applyFont="1" applyFill="1" applyBorder="1" applyAlignment="1">
      <alignment horizontal="center"/>
    </xf>
    <xf numFmtId="165" fontId="1" fillId="24" borderId="47" xfId="0" applyNumberFormat="1" applyFont="1" applyFill="1" applyBorder="1" applyAlignment="1">
      <alignment horizontal="center"/>
    </xf>
    <xf numFmtId="1" fontId="1" fillId="24" borderId="34" xfId="0" applyNumberFormat="1" applyFont="1" applyFill="1" applyBorder="1" applyAlignment="1">
      <alignment horizontal="center"/>
    </xf>
    <xf numFmtId="1" fontId="1" fillId="24" borderId="35" xfId="0" applyNumberFormat="1" applyFont="1" applyFill="1" applyBorder="1" applyAlignment="1">
      <alignment horizontal="center"/>
    </xf>
    <xf numFmtId="1" fontId="1" fillId="24" borderId="47" xfId="0" applyNumberFormat="1" applyFont="1" applyFill="1" applyBorder="1" applyAlignment="1">
      <alignment horizontal="center"/>
    </xf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165" fontId="24" fillId="0" borderId="0" xfId="0" applyNumberFormat="1" applyFont="1"/>
    <xf numFmtId="1" fontId="0" fillId="0" borderId="0" xfId="0" applyNumberFormat="1" applyBorder="1" applyAlignment="1">
      <alignment horizontal="right"/>
    </xf>
    <xf numFmtId="1" fontId="24" fillId="0" borderId="0" xfId="0" applyNumberFormat="1" applyFont="1"/>
    <xf numFmtId="0" fontId="27" fillId="0" borderId="0" xfId="0" applyFont="1" applyFill="1" applyBorder="1" applyProtection="1"/>
    <xf numFmtId="0" fontId="29" fillId="0" borderId="0" xfId="0" applyFont="1" applyAlignment="1" applyProtection="1">
      <alignment horizontal="center"/>
    </xf>
    <xf numFmtId="1" fontId="27" fillId="0" borderId="38" xfId="0" applyNumberFormat="1" applyFont="1" applyBorder="1" applyAlignment="1" applyProtection="1">
      <alignment horizontal="right"/>
      <protection locked="0"/>
    </xf>
    <xf numFmtId="1" fontId="27" fillId="0" borderId="28" xfId="0" applyNumberFormat="1" applyFont="1" applyBorder="1" applyAlignment="1" applyProtection="1">
      <alignment horizontal="right" wrapText="1"/>
      <protection locked="0"/>
    </xf>
    <xf numFmtId="1" fontId="27" fillId="0" borderId="31" xfId="0" applyNumberFormat="1" applyFont="1" applyBorder="1" applyAlignment="1" applyProtection="1">
      <alignment horizontal="right" wrapText="1"/>
      <protection locked="0"/>
    </xf>
    <xf numFmtId="1" fontId="1" fillId="24" borderId="53" xfId="0" applyNumberFormat="1" applyFont="1" applyFill="1" applyBorder="1" applyAlignment="1">
      <alignment horizontal="center"/>
    </xf>
    <xf numFmtId="0" fontId="25" fillId="35" borderId="54" xfId="0" applyFont="1" applyFill="1" applyBorder="1"/>
    <xf numFmtId="0" fontId="25" fillId="35" borderId="33" xfId="0" applyFont="1" applyFill="1" applyBorder="1"/>
    <xf numFmtId="0" fontId="25" fillId="35" borderId="42" xfId="0" applyFont="1" applyFill="1" applyBorder="1"/>
    <xf numFmtId="0" fontId="1" fillId="35" borderId="58" xfId="0" applyFont="1" applyFill="1" applyBorder="1" applyAlignment="1">
      <alignment vertical="center"/>
    </xf>
    <xf numFmtId="0" fontId="1" fillId="35" borderId="41" xfId="0" applyFont="1" applyFill="1" applyBorder="1" applyAlignment="1">
      <alignment horizontal="center" vertical="center"/>
    </xf>
    <xf numFmtId="0" fontId="1" fillId="35" borderId="45" xfId="0" applyFont="1" applyFill="1" applyBorder="1" applyAlignment="1">
      <alignment horizontal="center" vertical="center"/>
    </xf>
    <xf numFmtId="0" fontId="1" fillId="34" borderId="55" xfId="0" applyFont="1" applyFill="1" applyBorder="1" applyAlignment="1">
      <alignment horizontal="center" vertical="center"/>
    </xf>
    <xf numFmtId="0" fontId="1" fillId="34" borderId="56" xfId="0" applyFont="1" applyFill="1" applyBorder="1" applyAlignment="1">
      <alignment horizontal="center" vertical="center"/>
    </xf>
    <xf numFmtId="0" fontId="1" fillId="34" borderId="57" xfId="0" applyFont="1" applyFill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0" fontId="24" fillId="0" borderId="11" xfId="0" applyFont="1" applyFill="1" applyBorder="1" applyAlignment="1">
      <alignment horizontal="right"/>
    </xf>
    <xf numFmtId="0" fontId="33" fillId="0" borderId="0" xfId="0" quotePrefix="1" applyFont="1" applyAlignment="1">
      <alignment horizontal="righ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34" fillId="0" borderId="0" xfId="0" quotePrefix="1" applyFont="1" applyAlignment="1">
      <alignment horizontal="left"/>
    </xf>
    <xf numFmtId="0" fontId="37" fillId="0" borderId="18" xfId="0" applyFont="1" applyBorder="1" applyAlignment="1">
      <alignment horizontal="right" vertical="center"/>
    </xf>
    <xf numFmtId="0" fontId="37" fillId="0" borderId="12" xfId="0" applyFont="1" applyBorder="1" applyAlignment="1">
      <alignment horizontal="right" vertical="center"/>
    </xf>
    <xf numFmtId="1" fontId="39" fillId="24" borderId="14" xfId="0" applyNumberFormat="1" applyFont="1" applyFill="1" applyBorder="1" applyAlignment="1">
      <alignment horizontal="right" vertical="center"/>
    </xf>
    <xf numFmtId="0" fontId="37" fillId="0" borderId="12" xfId="0" applyFont="1" applyFill="1" applyBorder="1" applyAlignment="1">
      <alignment horizontal="right" vertical="center"/>
    </xf>
    <xf numFmtId="0" fontId="37" fillId="0" borderId="15" xfId="0" applyFont="1" applyFill="1" applyBorder="1" applyAlignment="1">
      <alignment horizontal="right" vertical="center"/>
    </xf>
    <xf numFmtId="1" fontId="39" fillId="24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34" fillId="0" borderId="0" xfId="0" applyFont="1" applyAlignment="1"/>
    <xf numFmtId="0" fontId="34" fillId="0" borderId="0" xfId="0" applyFon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quotePrefix="1" applyNumberFormat="1"/>
    <xf numFmtId="0" fontId="0" fillId="0" borderId="0" xfId="0" applyNumberFormat="1"/>
    <xf numFmtId="0" fontId="28" fillId="33" borderId="56" xfId="0" applyFont="1" applyFill="1" applyBorder="1" applyAlignment="1">
      <alignment horizontal="center" vertical="center" wrapText="1"/>
    </xf>
    <xf numFmtId="165" fontId="0" fillId="36" borderId="56" xfId="0" applyNumberFormat="1" applyFont="1" applyFill="1" applyBorder="1" applyAlignment="1" applyProtection="1">
      <alignment horizontal="center"/>
      <protection locked="0"/>
    </xf>
    <xf numFmtId="1" fontId="0" fillId="36" borderId="74" xfId="0" applyNumberFormat="1" applyFont="1" applyFill="1" applyBorder="1" applyAlignment="1">
      <alignment horizontal="center"/>
    </xf>
    <xf numFmtId="1" fontId="28" fillId="33" borderId="80" xfId="0" applyNumberFormat="1" applyFont="1" applyFill="1" applyBorder="1" applyAlignment="1">
      <alignment horizontal="center" vertical="center" wrapText="1"/>
    </xf>
    <xf numFmtId="0" fontId="28" fillId="33" borderId="81" xfId="0" applyFont="1" applyFill="1" applyBorder="1" applyAlignment="1">
      <alignment horizontal="center" vertical="center" wrapText="1"/>
    </xf>
    <xf numFmtId="0" fontId="28" fillId="33" borderId="82" xfId="0" applyFont="1" applyFill="1" applyBorder="1" applyAlignment="1">
      <alignment horizontal="center" vertical="center" wrapText="1"/>
    </xf>
    <xf numFmtId="0" fontId="28" fillId="33" borderId="83" xfId="0" applyFont="1" applyFill="1" applyBorder="1" applyAlignment="1">
      <alignment horizontal="center" vertical="center" wrapText="1"/>
    </xf>
    <xf numFmtId="0" fontId="28" fillId="33" borderId="49" xfId="0" applyFont="1" applyFill="1" applyBorder="1" applyAlignment="1">
      <alignment horizontal="center" vertical="center" wrapText="1"/>
    </xf>
    <xf numFmtId="0" fontId="28" fillId="33" borderId="84" xfId="0" applyFont="1" applyFill="1" applyBorder="1" applyAlignment="1">
      <alignment horizontal="center" vertical="center" wrapText="1"/>
    </xf>
    <xf numFmtId="0" fontId="28" fillId="33" borderId="48" xfId="0" applyFont="1" applyFill="1" applyBorder="1" applyAlignment="1">
      <alignment horizontal="center" vertical="center" wrapText="1"/>
    </xf>
    <xf numFmtId="0" fontId="28" fillId="33" borderId="85" xfId="0" applyFont="1" applyFill="1" applyBorder="1" applyAlignment="1">
      <alignment horizontal="center" vertical="center" wrapText="1"/>
    </xf>
    <xf numFmtId="1" fontId="0" fillId="36" borderId="86" xfId="0" applyNumberFormat="1" applyFont="1" applyFill="1" applyBorder="1" applyAlignment="1">
      <alignment horizontal="center"/>
    </xf>
    <xf numFmtId="0" fontId="0" fillId="36" borderId="87" xfId="0" applyFont="1" applyFill="1" applyBorder="1" applyAlignment="1" applyProtection="1">
      <alignment horizontal="center"/>
      <protection locked="0"/>
    </xf>
    <xf numFmtId="0" fontId="0" fillId="36" borderId="88" xfId="0" applyFont="1" applyFill="1" applyBorder="1" applyAlignment="1" applyProtection="1">
      <alignment horizontal="center"/>
      <protection locked="0"/>
    </xf>
    <xf numFmtId="0" fontId="0" fillId="36" borderId="89" xfId="0" applyFont="1" applyFill="1" applyBorder="1" applyAlignment="1">
      <alignment horizontal="center"/>
    </xf>
    <xf numFmtId="9" fontId="1" fillId="36" borderId="50" xfId="0" applyNumberFormat="1" applyFont="1" applyFill="1" applyBorder="1" applyAlignment="1">
      <alignment horizontal="center"/>
    </xf>
    <xf numFmtId="0" fontId="0" fillId="36" borderId="90" xfId="0" applyFont="1" applyFill="1" applyBorder="1" applyAlignment="1">
      <alignment horizontal="center"/>
    </xf>
    <xf numFmtId="0" fontId="0" fillId="36" borderId="29" xfId="0" applyFont="1" applyFill="1" applyBorder="1" applyAlignment="1" applyProtection="1">
      <alignment horizontal="center"/>
      <protection locked="0"/>
    </xf>
    <xf numFmtId="0" fontId="0" fillId="36" borderId="50" xfId="0" applyFont="1" applyFill="1" applyBorder="1" applyAlignment="1" applyProtection="1">
      <alignment horizontal="center"/>
      <protection locked="0"/>
    </xf>
    <xf numFmtId="0" fontId="1" fillId="36" borderId="50" xfId="0" applyNumberFormat="1" applyFont="1" applyFill="1" applyBorder="1" applyAlignment="1">
      <alignment horizontal="center"/>
    </xf>
    <xf numFmtId="0" fontId="0" fillId="36" borderId="89" xfId="0" applyFont="1" applyFill="1" applyBorder="1" applyAlignment="1" applyProtection="1">
      <alignment horizontal="center"/>
      <protection locked="0"/>
    </xf>
    <xf numFmtId="0" fontId="1" fillId="36" borderId="91" xfId="0" applyNumberFormat="1" applyFont="1" applyFill="1" applyBorder="1" applyAlignment="1">
      <alignment horizontal="center"/>
    </xf>
    <xf numFmtId="1" fontId="0" fillId="0" borderId="75" xfId="0" applyNumberFormat="1" applyFont="1" applyBorder="1" applyAlignment="1">
      <alignment horizontal="center"/>
    </xf>
    <xf numFmtId="1" fontId="0" fillId="0" borderId="76" xfId="0" applyNumberFormat="1" applyFont="1" applyBorder="1" applyAlignment="1" applyProtection="1">
      <alignment horizontal="center"/>
      <protection locked="0"/>
    </xf>
    <xf numFmtId="1" fontId="0" fillId="0" borderId="77" xfId="0" applyNumberFormat="1" applyFont="1" applyBorder="1" applyAlignment="1" applyProtection="1">
      <alignment horizontal="center"/>
      <protection locked="0"/>
    </xf>
    <xf numFmtId="1" fontId="0" fillId="0" borderId="78" xfId="0" applyNumberFormat="1" applyFont="1" applyBorder="1" applyAlignment="1">
      <alignment horizontal="center"/>
    </xf>
    <xf numFmtId="9" fontId="1" fillId="0" borderId="70" xfId="94" applyFont="1" applyBorder="1" applyAlignment="1">
      <alignment horizontal="center"/>
    </xf>
    <xf numFmtId="165" fontId="0" fillId="0" borderId="92" xfId="93" applyNumberFormat="1" applyFont="1" applyBorder="1" applyAlignment="1" applyProtection="1">
      <alignment horizontal="center"/>
      <protection locked="0"/>
    </xf>
    <xf numFmtId="165" fontId="0" fillId="0" borderId="79" xfId="0" applyNumberFormat="1" applyFont="1" applyBorder="1" applyAlignment="1">
      <alignment horizontal="center"/>
    </xf>
    <xf numFmtId="0" fontId="0" fillId="26" borderId="18" xfId="0" applyFont="1" applyFill="1" applyBorder="1" applyAlignment="1" applyProtection="1">
      <alignment horizontal="center"/>
      <protection locked="0"/>
    </xf>
    <xf numFmtId="0" fontId="0" fillId="26" borderId="70" xfId="0" applyFont="1" applyFill="1" applyBorder="1" applyAlignment="1" applyProtection="1">
      <alignment horizontal="center"/>
      <protection locked="0"/>
    </xf>
    <xf numFmtId="9" fontId="1" fillId="26" borderId="70" xfId="94" applyFont="1" applyFill="1" applyBorder="1" applyAlignment="1">
      <alignment horizontal="center"/>
    </xf>
    <xf numFmtId="0" fontId="0" fillId="26" borderId="77" xfId="0" applyFont="1" applyFill="1" applyBorder="1" applyAlignment="1" applyProtection="1">
      <alignment horizontal="center"/>
      <protection locked="0"/>
    </xf>
    <xf numFmtId="0" fontId="0" fillId="26" borderId="78" xfId="0" applyFont="1" applyFill="1" applyBorder="1" applyAlignment="1" applyProtection="1">
      <alignment horizontal="center"/>
      <protection locked="0"/>
    </xf>
    <xf numFmtId="9" fontId="1" fillId="0" borderId="79" xfId="94" applyNumberFormat="1" applyFont="1" applyBorder="1" applyAlignment="1">
      <alignment horizontal="center"/>
    </xf>
    <xf numFmtId="1" fontId="0" fillId="36" borderId="67" xfId="0" applyNumberFormat="1" applyFont="1" applyFill="1" applyBorder="1" applyAlignment="1" applyProtection="1">
      <alignment horizontal="center"/>
      <protection locked="0"/>
    </xf>
    <xf numFmtId="1" fontId="0" fillId="36" borderId="68" xfId="0" applyNumberFormat="1" applyFont="1" applyFill="1" applyBorder="1" applyAlignment="1" applyProtection="1">
      <alignment horizontal="center"/>
      <protection locked="0"/>
    </xf>
    <xf numFmtId="1" fontId="0" fillId="36" borderId="69" xfId="0" applyNumberFormat="1" applyFont="1" applyFill="1" applyBorder="1" applyAlignment="1">
      <alignment horizontal="center"/>
    </xf>
    <xf numFmtId="1" fontId="1" fillId="36" borderId="71" xfId="0" applyNumberFormat="1" applyFont="1" applyFill="1" applyBorder="1" applyAlignment="1">
      <alignment horizontal="center"/>
    </xf>
    <xf numFmtId="1" fontId="0" fillId="36" borderId="56" xfId="0" applyNumberFormat="1" applyFont="1" applyFill="1" applyBorder="1" applyAlignment="1" applyProtection="1">
      <alignment horizontal="center"/>
      <protection locked="0"/>
    </xf>
    <xf numFmtId="1" fontId="0" fillId="36" borderId="73" xfId="0" applyNumberFormat="1" applyFont="1" applyFill="1" applyBorder="1" applyAlignment="1">
      <alignment horizontal="center"/>
    </xf>
    <xf numFmtId="0" fontId="0" fillId="0" borderId="94" xfId="0" applyNumberFormat="1" applyFont="1" applyFill="1" applyBorder="1" applyAlignment="1">
      <alignment horizontal="center"/>
    </xf>
    <xf numFmtId="0" fontId="28" fillId="37" borderId="35" xfId="0" applyFont="1" applyFill="1" applyBorder="1" applyAlignment="1">
      <alignment horizontal="center" vertical="center" wrapText="1"/>
    </xf>
    <xf numFmtId="0" fontId="28" fillId="37" borderId="93" xfId="0" applyFont="1" applyFill="1" applyBorder="1" applyAlignment="1">
      <alignment horizontal="center" vertical="center" wrapText="1"/>
    </xf>
    <xf numFmtId="0" fontId="28" fillId="37" borderId="35" xfId="0" applyFont="1" applyFill="1" applyBorder="1" applyAlignment="1">
      <alignment horizontal="center" wrapText="1"/>
    </xf>
    <xf numFmtId="14" fontId="0" fillId="0" borderId="64" xfId="0" applyNumberFormat="1" applyFont="1" applyFill="1" applyBorder="1" applyAlignment="1" applyProtection="1">
      <alignment horizontal="center"/>
      <protection locked="0"/>
    </xf>
    <xf numFmtId="14" fontId="0" fillId="0" borderId="65" xfId="0" applyNumberFormat="1" applyFont="1" applyFill="1" applyBorder="1" applyAlignment="1" applyProtection="1">
      <alignment horizontal="center"/>
      <protection locked="0"/>
    </xf>
    <xf numFmtId="1" fontId="0" fillId="0" borderId="66" xfId="0" applyNumberFormat="1" applyFont="1" applyFill="1" applyBorder="1" applyAlignment="1">
      <alignment horizontal="center"/>
    </xf>
    <xf numFmtId="1" fontId="0" fillId="0" borderId="64" xfId="0" applyNumberFormat="1" applyFont="1" applyFill="1" applyBorder="1" applyAlignment="1" applyProtection="1">
      <alignment horizontal="center"/>
      <protection locked="0"/>
    </xf>
    <xf numFmtId="1" fontId="1" fillId="0" borderId="62" xfId="94" applyNumberFormat="1" applyFont="1" applyFill="1" applyBorder="1" applyAlignment="1">
      <alignment horizontal="center"/>
    </xf>
    <xf numFmtId="1" fontId="0" fillId="0" borderId="63" xfId="93" applyNumberFormat="1" applyFont="1" applyFill="1" applyBorder="1" applyAlignment="1" applyProtection="1">
      <alignment horizontal="center"/>
      <protection locked="0"/>
    </xf>
    <xf numFmtId="1" fontId="0" fillId="0" borderId="72" xfId="0" applyNumberFormat="1" applyFont="1" applyFill="1" applyBorder="1" applyAlignment="1">
      <alignment horizontal="center"/>
    </xf>
    <xf numFmtId="14" fontId="0" fillId="0" borderId="33" xfId="0" applyNumberFormat="1" applyBorder="1" applyAlignment="1"/>
    <xf numFmtId="0" fontId="1" fillId="0" borderId="95" xfId="0" applyFont="1" applyBorder="1"/>
    <xf numFmtId="14" fontId="1" fillId="0" borderId="0" xfId="0" applyNumberFormat="1" applyFont="1"/>
    <xf numFmtId="1" fontId="0" fillId="24" borderId="60" xfId="0" applyNumberFormat="1" applyFont="1" applyFill="1" applyBorder="1" applyAlignment="1">
      <alignment horizontal="right"/>
    </xf>
    <xf numFmtId="1" fontId="0" fillId="24" borderId="61" xfId="0" applyNumberFormat="1" applyFont="1" applyFill="1" applyBorder="1" applyAlignment="1">
      <alignment horizontal="right" wrapText="1"/>
    </xf>
    <xf numFmtId="1" fontId="0" fillId="24" borderId="61" xfId="0" applyNumberFormat="1" applyFont="1" applyFill="1" applyBorder="1" applyAlignment="1">
      <alignment horizontal="right"/>
    </xf>
    <xf numFmtId="0" fontId="1" fillId="0" borderId="95" xfId="0" applyFont="1" applyFill="1" applyBorder="1"/>
    <xf numFmtId="16" fontId="0" fillId="0" borderId="0" xfId="0" applyNumberFormat="1" applyAlignment="1">
      <alignment horizontal="center"/>
    </xf>
    <xf numFmtId="0" fontId="33" fillId="0" borderId="0" xfId="0" applyFont="1" applyAlignment="1">
      <alignment horizontal="left"/>
    </xf>
    <xf numFmtId="0" fontId="35" fillId="0" borderId="59" xfId="0" applyFont="1" applyBorder="1" applyAlignment="1">
      <alignment horizontal="center"/>
    </xf>
    <xf numFmtId="0" fontId="38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" fillId="0" borderId="41" xfId="0" applyFont="1" applyBorder="1" applyAlignment="1">
      <alignment horizontal="left" vertical="center"/>
    </xf>
    <xf numFmtId="0" fontId="41" fillId="0" borderId="0" xfId="0" applyFont="1" applyAlignment="1">
      <alignment horizontal="center" wrapText="1"/>
    </xf>
    <xf numFmtId="14" fontId="0" fillId="0" borderId="0" xfId="0" applyNumberFormat="1" applyAlignment="1">
      <alignment horizontal="center"/>
    </xf>
    <xf numFmtId="0" fontId="25" fillId="26" borderId="19" xfId="0" applyFont="1" applyFill="1" applyBorder="1" applyAlignment="1">
      <alignment horizontal="left"/>
    </xf>
    <xf numFmtId="0" fontId="25" fillId="26" borderId="20" xfId="0" applyFont="1" applyFill="1" applyBorder="1" applyAlignment="1">
      <alignment horizontal="left"/>
    </xf>
    <xf numFmtId="0" fontId="25" fillId="27" borderId="19" xfId="0" applyFont="1" applyFill="1" applyBorder="1" applyAlignment="1">
      <alignment horizontal="left"/>
    </xf>
    <xf numFmtId="0" fontId="25" fillId="27" borderId="21" xfId="0" applyFont="1" applyFill="1" applyBorder="1" applyAlignment="1">
      <alignment horizontal="left"/>
    </xf>
    <xf numFmtId="0" fontId="25" fillId="27" borderId="20" xfId="0" applyFont="1" applyFill="1" applyBorder="1" applyAlignment="1">
      <alignment horizontal="left"/>
    </xf>
  </cellXfs>
  <cellStyles count="95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pany information" xfId="28"/>
    <cellStyle name="company information 2" xfId="29"/>
    <cellStyle name="company information 3" xfId="30"/>
    <cellStyle name="Currency" xfId="93" builtinId="4"/>
    <cellStyle name="Currency 2" xfId="32"/>
    <cellStyle name="Currency 2 2" xfId="33"/>
    <cellStyle name="Currency 2 3" xfId="34"/>
    <cellStyle name="Currency 3" xfId="35"/>
    <cellStyle name="Currency 4" xfId="31"/>
    <cellStyle name="Explanatory Text 2" xfId="36"/>
    <cellStyle name="Good 2" xfId="37"/>
    <cellStyle name="header description" xfId="38"/>
    <cellStyle name="header description 2" xfId="39"/>
    <cellStyle name="header description 2 2" xfId="40"/>
    <cellStyle name="header description 2 3" xfId="41"/>
    <cellStyle name="header description 2 3 2" xfId="42"/>
    <cellStyle name="header description 2 3 3" xfId="43"/>
    <cellStyle name="header description 2 4" xfId="44"/>
    <cellStyle name="header E/D codes" xfId="45"/>
    <cellStyle name="header E/D codes 2" xfId="46"/>
    <cellStyle name="header E/D codes 2 2" xfId="47"/>
    <cellStyle name="header E/D codes 2 3" xfId="48"/>
    <cellStyle name="header E/D codes 2 3 2" xfId="49"/>
    <cellStyle name="header E/D codes 2 3 3" xfId="50"/>
    <cellStyle name="header E/D codes 2 4" xfId="51"/>
    <cellStyle name="header macro" xfId="52"/>
    <cellStyle name="header macro 2" xfId="53"/>
    <cellStyle name="header total" xfId="54"/>
    <cellStyle name="header total 2" xfId="55"/>
    <cellStyle name="header total 2 2" xfId="56"/>
    <cellStyle name="header total 2 3" xfId="57"/>
    <cellStyle name="header total 2 3 2" xfId="58"/>
    <cellStyle name="header total 2 3 3" xfId="59"/>
    <cellStyle name="header total 2 4" xfId="60"/>
    <cellStyle name="Heading 1 2" xfId="61"/>
    <cellStyle name="Heading 2 2" xfId="62"/>
    <cellStyle name="Heading 3 2" xfId="63"/>
    <cellStyle name="Heading 4 2" xfId="64"/>
    <cellStyle name="Hyperlink 2" xfId="65"/>
    <cellStyle name="Hyperlink 2 2" xfId="66"/>
    <cellStyle name="Input 2" xfId="67"/>
    <cellStyle name="Linked Cell 2" xfId="68"/>
    <cellStyle name="Neutral 2" xfId="69"/>
    <cellStyle name="Normal" xfId="0" builtinId="0"/>
    <cellStyle name="Normal 2" xfId="70"/>
    <cellStyle name="Normal 2 2" xfId="71"/>
    <cellStyle name="Normal 2 2 2" xfId="72"/>
    <cellStyle name="Normal 2 2 2 2" xfId="73"/>
    <cellStyle name="Normal 2 2 3" xfId="74"/>
    <cellStyle name="Normal 3" xfId="75"/>
    <cellStyle name="Note 2" xfId="76"/>
    <cellStyle name="Output 2" xfId="77"/>
    <cellStyle name="Percent" xfId="94" builtinId="5"/>
    <cellStyle name="Percent 2" xfId="79"/>
    <cellStyle name="Percent 2 2" xfId="80"/>
    <cellStyle name="Percent 2 3" xfId="81"/>
    <cellStyle name="Percent 3" xfId="82"/>
    <cellStyle name="Percent 4" xfId="78"/>
    <cellStyle name="time of day" xfId="83"/>
    <cellStyle name="time of day 2" xfId="84"/>
    <cellStyle name="time of day 2 2" xfId="85"/>
    <cellStyle name="time of day 2 3" xfId="86"/>
    <cellStyle name="time of day 2 3 2" xfId="87"/>
    <cellStyle name="time of day 2 3 3" xfId="88"/>
    <cellStyle name="time of day 2 4" xfId="89"/>
    <cellStyle name="Title 2" xfId="90"/>
    <cellStyle name="Total 2" xfId="91"/>
    <cellStyle name="Warning Text 2" xfId="92"/>
  </cellStyles>
  <dxfs count="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ill>
        <patternFill patternType="solid">
          <fgColor indexed="64"/>
          <bgColor theme="4" tint="0.5999938962981048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theme="1"/>
        </top>
        <bottom style="medium">
          <color theme="1"/>
        </bottom>
      </border>
    </dxf>
    <dxf>
      <numFmt numFmtId="13" formatCode="0%"/>
      <border diagonalUp="0" diagonalDown="0">
        <left style="medium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  <protection locked="0" hidden="0"/>
    </dxf>
    <dxf>
      <fill>
        <patternFill patternType="solid">
          <fgColor indexed="64"/>
          <bgColor theme="0" tint="-0.249977111117893"/>
        </patternFill>
      </fill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theme="1"/>
        </top>
        <bottom style="medium">
          <color theme="1"/>
        </bottom>
      </border>
    </dxf>
    <dxf>
      <numFmt numFmtId="165" formatCode="&quot;$&quot;#,##0.0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numFmt numFmtId="165" formatCode="&quot;$&quot;#,##0.0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3" formatCode="0%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numFmt numFmtId="1" formatCode="0"/>
      <border diagonalUp="0" diagonalDown="0">
        <left style="medium">
          <color indexed="64"/>
        </left>
        <right style="medium">
          <color auto="1"/>
        </right>
        <top style="thin">
          <color auto="1"/>
        </top>
        <bottom style="thin">
          <color auto="1"/>
        </bottom>
        <vertical style="medium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4" tint="0.5999938962981048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18</xdr:row>
          <xdr:rowOff>228600</xdr:rowOff>
        </xdr:from>
        <xdr:to>
          <xdr:col>2</xdr:col>
          <xdr:colOff>8305800</xdr:colOff>
          <xdr:row>21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</a:rPr>
                <a:t>RUN THE DAMN MACRO ALREADY!!!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Production" displayName="Production" ref="A5:R7" totalsRowCount="1" headerRowDxfId="89" dataDxfId="87" totalsRowDxfId="85" headerRowBorderDxfId="88" tableBorderDxfId="86">
  <autoFilter ref="A5:R6"/>
  <tableColumns count="18">
    <tableColumn id="1" name="Tech ID" totalsRowLabel="TOTAL" dataDxfId="84" totalsRowDxfId="83"/>
    <tableColumn id="4" name="Orders Issued" totalsRowFunction="sum" dataDxfId="82" totalsRowDxfId="81"/>
    <tableColumn id="5" name="RS/Dups Other" totalsRowFunction="sum" dataDxfId="80" totalsRowDxfId="79"/>
    <tableColumn id="6" name="Net Issued" totalsRowFunction="custom" dataDxfId="78" totalsRowDxfId="77">
      <calculatedColumnFormula>B6-C6</calculatedColumnFormula>
      <totalsRowFormula>Production[[#Totals],[Orders Issued]]-Production[[#Totals],[RS/Dups Other]]</totalsRowFormula>
    </tableColumn>
    <tableColumn id="7" name="Saves (Ct)" totalsRowFunction="sum" dataDxfId="76" totalsRowDxfId="75"/>
    <tableColumn id="8" name="Saves (%)" totalsRowFunction="custom" dataDxfId="74" totalsRowDxfId="73" dataCellStyle="Percent">
      <calculatedColumnFormula>E6/D6</calculatedColumnFormula>
      <totalsRowFormula>Production[[#Totals],[Saves (Ct)]]/Production[[#Totals],[Net Issued]]</totalsRowFormula>
    </tableColumn>
    <tableColumn id="9" name="Saves ($)" totalsRowFunction="sum" dataDxfId="72" totalsRowDxfId="71" dataCellStyle="Currency"/>
    <tableColumn id="10" name="Avg per Save" totalsRowFunction="custom" dataDxfId="70" totalsRowDxfId="69">
      <calculatedColumnFormula>G6/E6</calculatedColumnFormula>
      <totalsRowFormula>Production[[#Totals],[Saves ($)]]/Production[[#Totals],[Saves (Ct)]]</totalsRowFormula>
    </tableColumn>
    <tableColumn id="11" name="EQ Assn'd" totalsRowFunction="sum" dataDxfId="68" totalsRowDxfId="67"/>
    <tableColumn id="12" name="CPE Ret'd" totalsRowFunction="sum" dataDxfId="66" totalsRowDxfId="65"/>
    <tableColumn id="13" name="CPE           %" totalsRowFunction="custom" dataDxfId="64" totalsRowDxfId="63" dataCellStyle="Percent">
      <totalsRowFormula>Production[[#Totals],[CPE Ret''d]]/Production[[#Totals],[EQ Assn''d]]</totalsRowFormula>
    </tableColumn>
    <tableColumn id="14" name="Prem Dig" totalsRowFunction="sum" dataDxfId="62" totalsRowDxfId="61"/>
    <tableColumn id="15" name="Std Dig" totalsRowFunction="sum" dataDxfId="60" totalsRowDxfId="59"/>
    <tableColumn id="16" name="eMTA   MTA" totalsRowFunction="sum" dataDxfId="58" totalsRowDxfId="57"/>
    <tableColumn id="17" name="Home Sec" totalsRowFunction="sum" dataDxfId="56" totalsRowDxfId="55"/>
    <tableColumn id="18" name="To Be Disco'd" totalsRowFunction="sum" dataDxfId="54" totalsRowDxfId="53">
      <calculatedColumnFormula>Production[Net Issued]-Production[Saves (Ct)]</calculatedColumnFormula>
    </tableColumn>
    <tableColumn id="19" name="Discos Done" totalsRowFunction="sum" dataDxfId="52" totalsRowDxfId="51"/>
    <tableColumn id="20" name="Disco         %" totalsRowFunction="custom" dataDxfId="50" totalsRowDxfId="49" dataCellStyle="Percent">
      <calculatedColumnFormula>Q6/P6</calculatedColumnFormula>
      <totalsRowFormula>Production[[#Totals],[Discos Done]]/Production[[#Totals],[To Be Disco''d]]</totalsRow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Production7" displayName="Production7" ref="S5:AA7" totalsRowCount="1" headerRowDxfId="48" dataDxfId="46" totalsRowDxfId="44" headerRowBorderDxfId="47" tableBorderDxfId="45">
  <autoFilter ref="S5:AA6"/>
  <tableColumns count="9">
    <tableColumn id="1" name="TechID" totalsRowLabel="TOTAL" dataDxfId="43" totalsRowDxfId="42"/>
    <tableColumn id="4" name="Issue        Date" totalsRowFunction="max" dataDxfId="41" totalsRowDxfId="40"/>
    <tableColumn id="5" name="Turn In       Date" totalsRowFunction="max" dataDxfId="39" totalsRowDxfId="38"/>
    <tableColumn id="6" name="Premium Digital" totalsRowFunction="sum" dataDxfId="37" totalsRowDxfId="36"/>
    <tableColumn id="7" name="Standard  Digital" totalsRowFunction="sum" dataDxfId="35" totalsRowDxfId="34"/>
    <tableColumn id="8" name="eMTA      MTA" totalsRowFunction="sum" dataDxfId="33" totalsRowDxfId="32" dataCellStyle="Percent"/>
    <tableColumn id="9" name="Modem/ Router" totalsRowFunction="sum" dataDxfId="31" totalsRowDxfId="30" dataCellStyle="Currency"/>
    <tableColumn id="10" name="Home Security" totalsRowFunction="sum" dataDxfId="29" totalsRowDxfId="28"/>
    <tableColumn id="18" name="Total" totalsRowFunction="sum" dataDxfId="27" totalsRowDxfId="26">
      <calculatedColumnFormula>SUM(V6:Z6)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86:H139" totalsRowShown="0" headerRowDxfId="25" dataDxfId="23" headerRowBorderDxfId="24" tableBorderDxfId="22" totalsRowBorderDxfId="21">
  <autoFilter ref="A86:H139"/>
  <tableColumns count="8">
    <tableColumn id="1" name="Number" dataDxfId="20"/>
    <tableColumn id="2" name="Starting Date" dataDxfId="19"/>
    <tableColumn id="3" name="Ending Date" dataDxfId="18"/>
    <tableColumn id="4" name="Issue1 (Old)" dataDxfId="17"/>
    <tableColumn id="5" name="Issue2 (Old)" dataDxfId="16"/>
    <tableColumn id="6" name="Issue3 (New)" dataDxfId="15"/>
    <tableColumn id="7" name="LastClosed" dataDxfId="14"/>
    <tableColumn id="8" name="Column1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30:H83" totalsRowShown="0" headerRowDxfId="12" dataDxfId="10" headerRowBorderDxfId="11" tableBorderDxfId="9" totalsRowBorderDxfId="8">
  <autoFilter ref="A30:H83"/>
  <tableColumns count="8">
    <tableColumn id="1" name="Number" dataDxfId="7"/>
    <tableColumn id="2" name="Monday" dataDxfId="6"/>
    <tableColumn id="3" name="Tuesday" dataDxfId="5"/>
    <tableColumn id="4" name="Wednesday" dataDxfId="4"/>
    <tableColumn id="5" name="Thursday" dataDxfId="3"/>
    <tableColumn id="6" name="Friday" dataDxfId="2"/>
    <tableColumn id="7" name="Saturday" dataDxfId="1"/>
    <tableColumn id="8" name="Sun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put"/>
  <dimension ref="A1:F24"/>
  <sheetViews>
    <sheetView showGridLines="0" tabSelected="1" showRuler="0" view="pageLayout" topLeftCell="A3" zoomScale="70" zoomScaleNormal="100" zoomScalePageLayoutView="70" workbookViewId="0">
      <selection activeCell="C6" sqref="C6"/>
    </sheetView>
  </sheetViews>
  <sheetFormatPr defaultRowHeight="21" x14ac:dyDescent="0.35"/>
  <cols>
    <col min="1" max="1" width="4.42578125" style="10" customWidth="1"/>
    <col min="2" max="2" width="4.140625" style="126" customWidth="1"/>
    <col min="3" max="3" width="125.5703125" style="127" customWidth="1"/>
    <col min="4" max="4" width="3.28515625" style="10" customWidth="1"/>
    <col min="5" max="5" width="34.28515625" style="10" customWidth="1"/>
    <col min="6" max="6" width="13.5703125" style="136" customWidth="1"/>
    <col min="7" max="16384" width="9.140625" style="10"/>
  </cols>
  <sheetData>
    <row r="1" spans="1:6" ht="15" x14ac:dyDescent="0.25">
      <c r="B1" s="3"/>
      <c r="C1" s="10"/>
    </row>
    <row r="2" spans="1:6" ht="15" x14ac:dyDescent="0.25">
      <c r="B2" s="206"/>
      <c r="C2" s="206"/>
      <c r="D2" s="206"/>
    </row>
    <row r="3" spans="1:6" ht="30.75" customHeight="1" thickBot="1" x14ac:dyDescent="0.4">
      <c r="A3" s="204" t="s">
        <v>148</v>
      </c>
      <c r="B3" s="204"/>
      <c r="C3" s="204"/>
      <c r="D3" s="23"/>
    </row>
    <row r="4" spans="1:6" ht="27.75" customHeight="1" thickTop="1" x14ac:dyDescent="0.35">
      <c r="A4" s="125" t="s">
        <v>114</v>
      </c>
      <c r="B4" s="203" t="s">
        <v>150</v>
      </c>
      <c r="C4" s="203"/>
      <c r="D4" s="2"/>
      <c r="E4" s="130" t="s">
        <v>0</v>
      </c>
      <c r="F4" s="198"/>
    </row>
    <row r="5" spans="1:6" ht="27.75" customHeight="1" x14ac:dyDescent="0.35">
      <c r="A5" s="137"/>
      <c r="B5" s="128" t="s">
        <v>117</v>
      </c>
      <c r="C5" s="127" t="s">
        <v>149</v>
      </c>
      <c r="E5" s="131" t="s">
        <v>1</v>
      </c>
      <c r="F5" s="199"/>
    </row>
    <row r="6" spans="1:6" ht="27.75" customHeight="1" x14ac:dyDescent="0.35">
      <c r="A6" s="137"/>
      <c r="B6" s="128" t="s">
        <v>133</v>
      </c>
      <c r="C6" s="129" t="s">
        <v>147</v>
      </c>
      <c r="E6" s="131" t="s">
        <v>2</v>
      </c>
      <c r="F6" s="200"/>
    </row>
    <row r="7" spans="1:6" ht="27.75" customHeight="1" x14ac:dyDescent="0.35">
      <c r="A7" s="137"/>
      <c r="C7" s="129" t="s">
        <v>151</v>
      </c>
      <c r="E7" s="131" t="s">
        <v>3</v>
      </c>
      <c r="F7" s="200"/>
    </row>
    <row r="8" spans="1:6" ht="27.75" customHeight="1" x14ac:dyDescent="0.35">
      <c r="A8" s="138"/>
      <c r="B8" s="128" t="s">
        <v>134</v>
      </c>
      <c r="C8" s="127" t="s">
        <v>135</v>
      </c>
      <c r="E8" s="131" t="s">
        <v>4</v>
      </c>
      <c r="F8" s="200"/>
    </row>
    <row r="9" spans="1:6" ht="27.75" customHeight="1" x14ac:dyDescent="0.35">
      <c r="A9" s="138"/>
      <c r="C9" s="127" t="s">
        <v>136</v>
      </c>
      <c r="D9" s="4"/>
      <c r="E9" s="131" t="s">
        <v>5</v>
      </c>
      <c r="F9" s="200"/>
    </row>
    <row r="10" spans="1:6" ht="27.75" customHeight="1" x14ac:dyDescent="0.35">
      <c r="A10" s="138"/>
      <c r="B10" s="128" t="s">
        <v>137</v>
      </c>
      <c r="C10" s="127" t="s">
        <v>138</v>
      </c>
      <c r="E10" s="131" t="s">
        <v>6</v>
      </c>
      <c r="F10" s="200"/>
    </row>
    <row r="11" spans="1:6" ht="27.75" customHeight="1" x14ac:dyDescent="0.35">
      <c r="A11" s="207" t="s">
        <v>139</v>
      </c>
      <c r="B11" s="207"/>
      <c r="C11" s="207"/>
      <c r="E11" s="131" t="s">
        <v>7</v>
      </c>
      <c r="F11" s="200"/>
    </row>
    <row r="12" spans="1:6" ht="27.75" customHeight="1" x14ac:dyDescent="0.35">
      <c r="A12" s="125" t="s">
        <v>115</v>
      </c>
      <c r="B12" s="203" t="s">
        <v>140</v>
      </c>
      <c r="C12" s="203"/>
      <c r="E12" s="131" t="s">
        <v>8</v>
      </c>
      <c r="F12" s="200"/>
    </row>
    <row r="13" spans="1:6" ht="27.75" customHeight="1" x14ac:dyDescent="0.35">
      <c r="A13" s="138"/>
      <c r="B13" s="128" t="s">
        <v>117</v>
      </c>
      <c r="C13" s="127" t="s">
        <v>141</v>
      </c>
      <c r="E13" s="131" t="s">
        <v>9</v>
      </c>
      <c r="F13" s="200"/>
    </row>
    <row r="14" spans="1:6" ht="27.75" customHeight="1" x14ac:dyDescent="0.35">
      <c r="A14" s="125" t="s">
        <v>116</v>
      </c>
      <c r="B14" s="203" t="s">
        <v>142</v>
      </c>
      <c r="C14" s="203"/>
      <c r="E14" s="131" t="s">
        <v>10</v>
      </c>
      <c r="F14" s="200"/>
    </row>
    <row r="15" spans="1:6" ht="27.75" customHeight="1" x14ac:dyDescent="0.35">
      <c r="A15" s="138"/>
      <c r="B15" s="128" t="s">
        <v>117</v>
      </c>
      <c r="C15" s="127" t="s">
        <v>143</v>
      </c>
      <c r="D15" s="1"/>
      <c r="E15" s="133" t="s">
        <v>12</v>
      </c>
      <c r="F15" s="200"/>
    </row>
    <row r="16" spans="1:6" ht="27.75" customHeight="1" x14ac:dyDescent="0.35">
      <c r="A16" s="138"/>
      <c r="B16" s="128" t="s">
        <v>133</v>
      </c>
      <c r="C16" s="127" t="s">
        <v>166</v>
      </c>
      <c r="E16" s="133" t="s">
        <v>13</v>
      </c>
      <c r="F16" s="200"/>
    </row>
    <row r="17" spans="1:6" ht="27.75" customHeight="1" x14ac:dyDescent="0.35">
      <c r="A17" s="205" t="s">
        <v>144</v>
      </c>
      <c r="B17" s="205"/>
      <c r="C17" s="205"/>
      <c r="E17" s="133" t="s">
        <v>14</v>
      </c>
      <c r="F17" s="200"/>
    </row>
    <row r="18" spans="1:6" ht="27.75" customHeight="1" x14ac:dyDescent="0.35">
      <c r="A18" s="125" t="s">
        <v>146</v>
      </c>
      <c r="B18" s="203" t="s">
        <v>145</v>
      </c>
      <c r="C18" s="203"/>
      <c r="E18" s="133" t="s">
        <v>98</v>
      </c>
      <c r="F18" s="200"/>
    </row>
    <row r="19" spans="1:6" ht="27.75" customHeight="1" x14ac:dyDescent="0.35">
      <c r="A19" s="138"/>
      <c r="C19" s="129"/>
      <c r="E19" s="133" t="s">
        <v>99</v>
      </c>
      <c r="F19" s="200"/>
    </row>
    <row r="20" spans="1:6" ht="27.75" customHeight="1" x14ac:dyDescent="0.35">
      <c r="E20" s="133" t="s">
        <v>100</v>
      </c>
      <c r="F20" s="200"/>
    </row>
    <row r="21" spans="1:6" ht="27.75" customHeight="1" x14ac:dyDescent="0.35">
      <c r="E21" s="133" t="s">
        <v>101</v>
      </c>
      <c r="F21" s="200"/>
    </row>
    <row r="22" spans="1:6" ht="27.75" customHeight="1" x14ac:dyDescent="0.35">
      <c r="A22" s="122"/>
      <c r="E22" s="133" t="s">
        <v>102</v>
      </c>
      <c r="F22" s="132"/>
    </row>
    <row r="23" spans="1:6" ht="27.75" customHeight="1" x14ac:dyDescent="0.35">
      <c r="A23" s="122"/>
      <c r="E23" s="133" t="s">
        <v>103</v>
      </c>
      <c r="F23" s="132"/>
    </row>
    <row r="24" spans="1:6" ht="27.75" customHeight="1" thickBot="1" x14ac:dyDescent="0.4">
      <c r="A24" s="122"/>
      <c r="E24" s="134" t="s">
        <v>104</v>
      </c>
      <c r="F24" s="135"/>
    </row>
  </sheetData>
  <mergeCells count="8">
    <mergeCell ref="B18:C18"/>
    <mergeCell ref="A3:C3"/>
    <mergeCell ref="A17:C17"/>
    <mergeCell ref="B2:D2"/>
    <mergeCell ref="B4:C4"/>
    <mergeCell ref="B12:C12"/>
    <mergeCell ref="B14:C14"/>
    <mergeCell ref="A11:C11"/>
  </mergeCells>
  <pageMargins left="0.27555555555555555" right="0.25" top="0.25" bottom="0.25" header="0.25" footer="0.25"/>
  <pageSetup paperSize="34" scale="62" orientation="landscape" r:id="rId1"/>
  <ignoredErrors>
    <ignoredError sqref="A4 A12 A14 A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sterButton_Click">
                <anchor moveWithCells="1" sizeWithCells="1">
                  <from>
                    <xdr:col>2</xdr:col>
                    <xdr:colOff>419100</xdr:colOff>
                    <xdr:row>18</xdr:row>
                    <xdr:rowOff>228600</xdr:rowOff>
                  </from>
                  <to>
                    <xdr:col>2</xdr:col>
                    <xdr:colOff>8305800</xdr:colOff>
                    <xdr:row>21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I30"/>
  <sheetViews>
    <sheetView showGridLines="0" showRowColHeaders="0" showRuler="0" view="pageLayout" zoomScale="75" zoomScaleNormal="55" zoomScalePageLayoutView="75" workbookViewId="0">
      <selection activeCell="E1" sqref="E1"/>
    </sheetView>
  </sheetViews>
  <sheetFormatPr defaultRowHeight="15.75" x14ac:dyDescent="0.25"/>
  <cols>
    <col min="1" max="1" width="32.42578125" style="30" customWidth="1"/>
    <col min="2" max="8" width="14.7109375" style="30" customWidth="1"/>
    <col min="9" max="9" width="14.7109375" style="30" bestFit="1" customWidth="1"/>
    <col min="10" max="38" width="9.140625" style="30"/>
    <col min="39" max="39" width="40.7109375" style="30" customWidth="1"/>
    <col min="40" max="51" width="22.7109375" style="30" customWidth="1"/>
    <col min="52" max="54" width="15" style="30" customWidth="1"/>
    <col min="55" max="294" width="9.140625" style="30"/>
    <col min="295" max="295" width="40.7109375" style="30" customWidth="1"/>
    <col min="296" max="307" width="22.7109375" style="30" customWidth="1"/>
    <col min="308" max="310" width="15" style="30" customWidth="1"/>
    <col min="311" max="550" width="9.140625" style="30"/>
    <col min="551" max="551" width="40.7109375" style="30" customWidth="1"/>
    <col min="552" max="563" width="22.7109375" style="30" customWidth="1"/>
    <col min="564" max="566" width="15" style="30" customWidth="1"/>
    <col min="567" max="806" width="9.140625" style="30"/>
    <col min="807" max="807" width="40.7109375" style="30" customWidth="1"/>
    <col min="808" max="819" width="22.7109375" style="30" customWidth="1"/>
    <col min="820" max="822" width="15" style="30" customWidth="1"/>
    <col min="823" max="1062" width="9.140625" style="30"/>
    <col min="1063" max="1063" width="40.7109375" style="30" customWidth="1"/>
    <col min="1064" max="1075" width="22.7109375" style="30" customWidth="1"/>
    <col min="1076" max="1078" width="15" style="30" customWidth="1"/>
    <col min="1079" max="1318" width="9.140625" style="30"/>
    <col min="1319" max="1319" width="40.7109375" style="30" customWidth="1"/>
    <col min="1320" max="1331" width="22.7109375" style="30" customWidth="1"/>
    <col min="1332" max="1334" width="15" style="30" customWidth="1"/>
    <col min="1335" max="1574" width="9.140625" style="30"/>
    <col min="1575" max="1575" width="40.7109375" style="30" customWidth="1"/>
    <col min="1576" max="1587" width="22.7109375" style="30" customWidth="1"/>
    <col min="1588" max="1590" width="15" style="30" customWidth="1"/>
    <col min="1591" max="1830" width="9.140625" style="30"/>
    <col min="1831" max="1831" width="40.7109375" style="30" customWidth="1"/>
    <col min="1832" max="1843" width="22.7109375" style="30" customWidth="1"/>
    <col min="1844" max="1846" width="15" style="30" customWidth="1"/>
    <col min="1847" max="2086" width="9.140625" style="30"/>
    <col min="2087" max="2087" width="40.7109375" style="30" customWidth="1"/>
    <col min="2088" max="2099" width="22.7109375" style="30" customWidth="1"/>
    <col min="2100" max="2102" width="15" style="30" customWidth="1"/>
    <col min="2103" max="2342" width="9.140625" style="30"/>
    <col min="2343" max="2343" width="40.7109375" style="30" customWidth="1"/>
    <col min="2344" max="2355" width="22.7109375" style="30" customWidth="1"/>
    <col min="2356" max="2358" width="15" style="30" customWidth="1"/>
    <col min="2359" max="2598" width="9.140625" style="30"/>
    <col min="2599" max="2599" width="40.7109375" style="30" customWidth="1"/>
    <col min="2600" max="2611" width="22.7109375" style="30" customWidth="1"/>
    <col min="2612" max="2614" width="15" style="30" customWidth="1"/>
    <col min="2615" max="2854" width="9.140625" style="30"/>
    <col min="2855" max="2855" width="40.7109375" style="30" customWidth="1"/>
    <col min="2856" max="2867" width="22.7109375" style="30" customWidth="1"/>
    <col min="2868" max="2870" width="15" style="30" customWidth="1"/>
    <col min="2871" max="3110" width="9.140625" style="30"/>
    <col min="3111" max="3111" width="40.7109375" style="30" customWidth="1"/>
    <col min="3112" max="3123" width="22.7109375" style="30" customWidth="1"/>
    <col min="3124" max="3126" width="15" style="30" customWidth="1"/>
    <col min="3127" max="3366" width="9.140625" style="30"/>
    <col min="3367" max="3367" width="40.7109375" style="30" customWidth="1"/>
    <col min="3368" max="3379" width="22.7109375" style="30" customWidth="1"/>
    <col min="3380" max="3382" width="15" style="30" customWidth="1"/>
    <col min="3383" max="3622" width="9.140625" style="30"/>
    <col min="3623" max="3623" width="40.7109375" style="30" customWidth="1"/>
    <col min="3624" max="3635" width="22.7109375" style="30" customWidth="1"/>
    <col min="3636" max="3638" width="15" style="30" customWidth="1"/>
    <col min="3639" max="3878" width="9.140625" style="30"/>
    <col min="3879" max="3879" width="40.7109375" style="30" customWidth="1"/>
    <col min="3880" max="3891" width="22.7109375" style="30" customWidth="1"/>
    <col min="3892" max="3894" width="15" style="30" customWidth="1"/>
    <col min="3895" max="4134" width="9.140625" style="30"/>
    <col min="4135" max="4135" width="40.7109375" style="30" customWidth="1"/>
    <col min="4136" max="4147" width="22.7109375" style="30" customWidth="1"/>
    <col min="4148" max="4150" width="15" style="30" customWidth="1"/>
    <col min="4151" max="4390" width="9.140625" style="30"/>
    <col min="4391" max="4391" width="40.7109375" style="30" customWidth="1"/>
    <col min="4392" max="4403" width="22.7109375" style="30" customWidth="1"/>
    <col min="4404" max="4406" width="15" style="30" customWidth="1"/>
    <col min="4407" max="4646" width="9.140625" style="30"/>
    <col min="4647" max="4647" width="40.7109375" style="30" customWidth="1"/>
    <col min="4648" max="4659" width="22.7109375" style="30" customWidth="1"/>
    <col min="4660" max="4662" width="15" style="30" customWidth="1"/>
    <col min="4663" max="4902" width="9.140625" style="30"/>
    <col min="4903" max="4903" width="40.7109375" style="30" customWidth="1"/>
    <col min="4904" max="4915" width="22.7109375" style="30" customWidth="1"/>
    <col min="4916" max="4918" width="15" style="30" customWidth="1"/>
    <col min="4919" max="5158" width="9.140625" style="30"/>
    <col min="5159" max="5159" width="40.7109375" style="30" customWidth="1"/>
    <col min="5160" max="5171" width="22.7109375" style="30" customWidth="1"/>
    <col min="5172" max="5174" width="15" style="30" customWidth="1"/>
    <col min="5175" max="5414" width="9.140625" style="30"/>
    <col min="5415" max="5415" width="40.7109375" style="30" customWidth="1"/>
    <col min="5416" max="5427" width="22.7109375" style="30" customWidth="1"/>
    <col min="5428" max="5430" width="15" style="30" customWidth="1"/>
    <col min="5431" max="5670" width="9.140625" style="30"/>
    <col min="5671" max="5671" width="40.7109375" style="30" customWidth="1"/>
    <col min="5672" max="5683" width="22.7109375" style="30" customWidth="1"/>
    <col min="5684" max="5686" width="15" style="30" customWidth="1"/>
    <col min="5687" max="5926" width="9.140625" style="30"/>
    <col min="5927" max="5927" width="40.7109375" style="30" customWidth="1"/>
    <col min="5928" max="5939" width="22.7109375" style="30" customWidth="1"/>
    <col min="5940" max="5942" width="15" style="30" customWidth="1"/>
    <col min="5943" max="6182" width="9.140625" style="30"/>
    <col min="6183" max="6183" width="40.7109375" style="30" customWidth="1"/>
    <col min="6184" max="6195" width="22.7109375" style="30" customWidth="1"/>
    <col min="6196" max="6198" width="15" style="30" customWidth="1"/>
    <col min="6199" max="6438" width="9.140625" style="30"/>
    <col min="6439" max="6439" width="40.7109375" style="30" customWidth="1"/>
    <col min="6440" max="6451" width="22.7109375" style="30" customWidth="1"/>
    <col min="6452" max="6454" width="15" style="30" customWidth="1"/>
    <col min="6455" max="6694" width="9.140625" style="30"/>
    <col min="6695" max="6695" width="40.7109375" style="30" customWidth="1"/>
    <col min="6696" max="6707" width="22.7109375" style="30" customWidth="1"/>
    <col min="6708" max="6710" width="15" style="30" customWidth="1"/>
    <col min="6711" max="6950" width="9.140625" style="30"/>
    <col min="6951" max="6951" width="40.7109375" style="30" customWidth="1"/>
    <col min="6952" max="6963" width="22.7109375" style="30" customWidth="1"/>
    <col min="6964" max="6966" width="15" style="30" customWidth="1"/>
    <col min="6967" max="7206" width="9.140625" style="30"/>
    <col min="7207" max="7207" width="40.7109375" style="30" customWidth="1"/>
    <col min="7208" max="7219" width="22.7109375" style="30" customWidth="1"/>
    <col min="7220" max="7222" width="15" style="30" customWidth="1"/>
    <col min="7223" max="7462" width="9.140625" style="30"/>
    <col min="7463" max="7463" width="40.7109375" style="30" customWidth="1"/>
    <col min="7464" max="7475" width="22.7109375" style="30" customWidth="1"/>
    <col min="7476" max="7478" width="15" style="30" customWidth="1"/>
    <col min="7479" max="7718" width="9.140625" style="30"/>
    <col min="7719" max="7719" width="40.7109375" style="30" customWidth="1"/>
    <col min="7720" max="7731" width="22.7109375" style="30" customWidth="1"/>
    <col min="7732" max="7734" width="15" style="30" customWidth="1"/>
    <col min="7735" max="7974" width="9.140625" style="30"/>
    <col min="7975" max="7975" width="40.7109375" style="30" customWidth="1"/>
    <col min="7976" max="7987" width="22.7109375" style="30" customWidth="1"/>
    <col min="7988" max="7990" width="15" style="30" customWidth="1"/>
    <col min="7991" max="8230" width="9.140625" style="30"/>
    <col min="8231" max="8231" width="40.7109375" style="30" customWidth="1"/>
    <col min="8232" max="8243" width="22.7109375" style="30" customWidth="1"/>
    <col min="8244" max="8246" width="15" style="30" customWidth="1"/>
    <col min="8247" max="8486" width="9.140625" style="30"/>
    <col min="8487" max="8487" width="40.7109375" style="30" customWidth="1"/>
    <col min="8488" max="8499" width="22.7109375" style="30" customWidth="1"/>
    <col min="8500" max="8502" width="15" style="30" customWidth="1"/>
    <col min="8503" max="8742" width="9.140625" style="30"/>
    <col min="8743" max="8743" width="40.7109375" style="30" customWidth="1"/>
    <col min="8744" max="8755" width="22.7109375" style="30" customWidth="1"/>
    <col min="8756" max="8758" width="15" style="30" customWidth="1"/>
    <col min="8759" max="8998" width="9.140625" style="30"/>
    <col min="8999" max="8999" width="40.7109375" style="30" customWidth="1"/>
    <col min="9000" max="9011" width="22.7109375" style="30" customWidth="1"/>
    <col min="9012" max="9014" width="15" style="30" customWidth="1"/>
    <col min="9015" max="9254" width="9.140625" style="30"/>
    <col min="9255" max="9255" width="40.7109375" style="30" customWidth="1"/>
    <col min="9256" max="9267" width="22.7109375" style="30" customWidth="1"/>
    <col min="9268" max="9270" width="15" style="30" customWidth="1"/>
    <col min="9271" max="9510" width="9.140625" style="30"/>
    <col min="9511" max="9511" width="40.7109375" style="30" customWidth="1"/>
    <col min="9512" max="9523" width="22.7109375" style="30" customWidth="1"/>
    <col min="9524" max="9526" width="15" style="30" customWidth="1"/>
    <col min="9527" max="9766" width="9.140625" style="30"/>
    <col min="9767" max="9767" width="40.7109375" style="30" customWidth="1"/>
    <col min="9768" max="9779" width="22.7109375" style="30" customWidth="1"/>
    <col min="9780" max="9782" width="15" style="30" customWidth="1"/>
    <col min="9783" max="10022" width="9.140625" style="30"/>
    <col min="10023" max="10023" width="40.7109375" style="30" customWidth="1"/>
    <col min="10024" max="10035" width="22.7109375" style="30" customWidth="1"/>
    <col min="10036" max="10038" width="15" style="30" customWidth="1"/>
    <col min="10039" max="10278" width="9.140625" style="30"/>
    <col min="10279" max="10279" width="40.7109375" style="30" customWidth="1"/>
    <col min="10280" max="10291" width="22.7109375" style="30" customWidth="1"/>
    <col min="10292" max="10294" width="15" style="30" customWidth="1"/>
    <col min="10295" max="10534" width="9.140625" style="30"/>
    <col min="10535" max="10535" width="40.7109375" style="30" customWidth="1"/>
    <col min="10536" max="10547" width="22.7109375" style="30" customWidth="1"/>
    <col min="10548" max="10550" width="15" style="30" customWidth="1"/>
    <col min="10551" max="10790" width="9.140625" style="30"/>
    <col min="10791" max="10791" width="40.7109375" style="30" customWidth="1"/>
    <col min="10792" max="10803" width="22.7109375" style="30" customWidth="1"/>
    <col min="10804" max="10806" width="15" style="30" customWidth="1"/>
    <col min="10807" max="11046" width="9.140625" style="30"/>
    <col min="11047" max="11047" width="40.7109375" style="30" customWidth="1"/>
    <col min="11048" max="11059" width="22.7109375" style="30" customWidth="1"/>
    <col min="11060" max="11062" width="15" style="30" customWidth="1"/>
    <col min="11063" max="11302" width="9.140625" style="30"/>
    <col min="11303" max="11303" width="40.7109375" style="30" customWidth="1"/>
    <col min="11304" max="11315" width="22.7109375" style="30" customWidth="1"/>
    <col min="11316" max="11318" width="15" style="30" customWidth="1"/>
    <col min="11319" max="11558" width="9.140625" style="30"/>
    <col min="11559" max="11559" width="40.7109375" style="30" customWidth="1"/>
    <col min="11560" max="11571" width="22.7109375" style="30" customWidth="1"/>
    <col min="11572" max="11574" width="15" style="30" customWidth="1"/>
    <col min="11575" max="11814" width="9.140625" style="30"/>
    <col min="11815" max="11815" width="40.7109375" style="30" customWidth="1"/>
    <col min="11816" max="11827" width="22.7109375" style="30" customWidth="1"/>
    <col min="11828" max="11830" width="15" style="30" customWidth="1"/>
    <col min="11831" max="12070" width="9.140625" style="30"/>
    <col min="12071" max="12071" width="40.7109375" style="30" customWidth="1"/>
    <col min="12072" max="12083" width="22.7109375" style="30" customWidth="1"/>
    <col min="12084" max="12086" width="15" style="30" customWidth="1"/>
    <col min="12087" max="12326" width="9.140625" style="30"/>
    <col min="12327" max="12327" width="40.7109375" style="30" customWidth="1"/>
    <col min="12328" max="12339" width="22.7109375" style="30" customWidth="1"/>
    <col min="12340" max="12342" width="15" style="30" customWidth="1"/>
    <col min="12343" max="12582" width="9.140625" style="30"/>
    <col min="12583" max="12583" width="40.7109375" style="30" customWidth="1"/>
    <col min="12584" max="12595" width="22.7109375" style="30" customWidth="1"/>
    <col min="12596" max="12598" width="15" style="30" customWidth="1"/>
    <col min="12599" max="12838" width="9.140625" style="30"/>
    <col min="12839" max="12839" width="40.7109375" style="30" customWidth="1"/>
    <col min="12840" max="12851" width="22.7109375" style="30" customWidth="1"/>
    <col min="12852" max="12854" width="15" style="30" customWidth="1"/>
    <col min="12855" max="13094" width="9.140625" style="30"/>
    <col min="13095" max="13095" width="40.7109375" style="30" customWidth="1"/>
    <col min="13096" max="13107" width="22.7109375" style="30" customWidth="1"/>
    <col min="13108" max="13110" width="15" style="30" customWidth="1"/>
    <col min="13111" max="13350" width="9.140625" style="30"/>
    <col min="13351" max="13351" width="40.7109375" style="30" customWidth="1"/>
    <col min="13352" max="13363" width="22.7109375" style="30" customWidth="1"/>
    <col min="13364" max="13366" width="15" style="30" customWidth="1"/>
    <col min="13367" max="13606" width="9.140625" style="30"/>
    <col min="13607" max="13607" width="40.7109375" style="30" customWidth="1"/>
    <col min="13608" max="13619" width="22.7109375" style="30" customWidth="1"/>
    <col min="13620" max="13622" width="15" style="30" customWidth="1"/>
    <col min="13623" max="13862" width="9.140625" style="30"/>
    <col min="13863" max="13863" width="40.7109375" style="30" customWidth="1"/>
    <col min="13864" max="13875" width="22.7109375" style="30" customWidth="1"/>
    <col min="13876" max="13878" width="15" style="30" customWidth="1"/>
    <col min="13879" max="14118" width="9.140625" style="30"/>
    <col min="14119" max="14119" width="40.7109375" style="30" customWidth="1"/>
    <col min="14120" max="14131" width="22.7109375" style="30" customWidth="1"/>
    <col min="14132" max="14134" width="15" style="30" customWidth="1"/>
    <col min="14135" max="14374" width="9.140625" style="30"/>
    <col min="14375" max="14375" width="40.7109375" style="30" customWidth="1"/>
    <col min="14376" max="14387" width="22.7109375" style="30" customWidth="1"/>
    <col min="14388" max="14390" width="15" style="30" customWidth="1"/>
    <col min="14391" max="14630" width="9.140625" style="30"/>
    <col min="14631" max="14631" width="40.7109375" style="30" customWidth="1"/>
    <col min="14632" max="14643" width="22.7109375" style="30" customWidth="1"/>
    <col min="14644" max="14646" width="15" style="30" customWidth="1"/>
    <col min="14647" max="14886" width="9.140625" style="30"/>
    <col min="14887" max="14887" width="40.7109375" style="30" customWidth="1"/>
    <col min="14888" max="14899" width="22.7109375" style="30" customWidth="1"/>
    <col min="14900" max="14902" width="15" style="30" customWidth="1"/>
    <col min="14903" max="15142" width="9.140625" style="30"/>
    <col min="15143" max="15143" width="40.7109375" style="30" customWidth="1"/>
    <col min="15144" max="15155" width="22.7109375" style="30" customWidth="1"/>
    <col min="15156" max="15158" width="15" style="30" customWidth="1"/>
    <col min="15159" max="15398" width="9.140625" style="30"/>
    <col min="15399" max="15399" width="40.7109375" style="30" customWidth="1"/>
    <col min="15400" max="15411" width="22.7109375" style="30" customWidth="1"/>
    <col min="15412" max="15414" width="15" style="30" customWidth="1"/>
    <col min="15415" max="15654" width="9.140625" style="30"/>
    <col min="15655" max="15655" width="40.7109375" style="30" customWidth="1"/>
    <col min="15656" max="15667" width="22.7109375" style="30" customWidth="1"/>
    <col min="15668" max="15670" width="15" style="30" customWidth="1"/>
    <col min="15671" max="15910" width="9.140625" style="30"/>
    <col min="15911" max="15911" width="40.7109375" style="30" customWidth="1"/>
    <col min="15912" max="15923" width="22.7109375" style="30" customWidth="1"/>
    <col min="15924" max="15926" width="15" style="30" customWidth="1"/>
    <col min="15927" max="16384" width="9.140625" style="30"/>
  </cols>
  <sheetData>
    <row r="1" spans="1:9" ht="18.75" customHeight="1" x14ac:dyDescent="0.25">
      <c r="A1" s="92" t="s">
        <v>91</v>
      </c>
      <c r="B1" s="108" t="s">
        <v>11</v>
      </c>
    </row>
    <row r="2" spans="1:9" ht="20.25" customHeight="1" x14ac:dyDescent="0.25">
      <c r="A2" s="92" t="s">
        <v>90</v>
      </c>
      <c r="B2" s="108">
        <v>53727</v>
      </c>
    </row>
    <row r="3" spans="1:9" ht="8.25" customHeight="1" thickBot="1" x14ac:dyDescent="0.3">
      <c r="A3" s="53"/>
    </row>
    <row r="4" spans="1:9" ht="18.75" customHeight="1" thickBot="1" x14ac:dyDescent="0.3">
      <c r="A4" s="89" t="s">
        <v>59</v>
      </c>
      <c r="B4" s="90"/>
      <c r="C4" s="90"/>
      <c r="D4" s="90"/>
      <c r="E4" s="90"/>
      <c r="F4" s="90"/>
      <c r="G4" s="90"/>
      <c r="H4" s="90"/>
      <c r="I4" s="91"/>
    </row>
    <row r="5" spans="1:9" s="27" customFormat="1" ht="19.5" thickBot="1" x14ac:dyDescent="0.35">
      <c r="A5" s="54"/>
      <c r="B5" s="55" t="s">
        <v>16</v>
      </c>
      <c r="C5" s="56" t="s">
        <v>17</v>
      </c>
      <c r="D5" s="56" t="s">
        <v>18</v>
      </c>
      <c r="E5" s="56" t="s">
        <v>19</v>
      </c>
      <c r="F5" s="56" t="s">
        <v>20</v>
      </c>
      <c r="G5" s="56" t="s">
        <v>21</v>
      </c>
      <c r="H5" s="56" t="s">
        <v>22</v>
      </c>
      <c r="I5" s="57" t="s">
        <v>60</v>
      </c>
    </row>
    <row r="6" spans="1:9" s="28" customFormat="1" ht="18" customHeight="1" x14ac:dyDescent="0.3">
      <c r="A6" s="58" t="s">
        <v>71</v>
      </c>
      <c r="B6" s="59"/>
      <c r="C6" s="60"/>
      <c r="D6" s="60"/>
      <c r="E6" s="60"/>
      <c r="F6" s="60"/>
      <c r="G6" s="60"/>
      <c r="H6" s="61"/>
      <c r="I6" s="62">
        <f t="shared" ref="I6:I22" si="0">SUM(B6:H6)</f>
        <v>0</v>
      </c>
    </row>
    <row r="7" spans="1:9" s="28" customFormat="1" ht="18" customHeight="1" x14ac:dyDescent="0.3">
      <c r="A7" s="58" t="s">
        <v>68</v>
      </c>
      <c r="B7" s="63"/>
      <c r="C7" s="64"/>
      <c r="D7" s="64"/>
      <c r="E7" s="64"/>
      <c r="F7" s="64"/>
      <c r="G7" s="64"/>
      <c r="H7" s="65"/>
      <c r="I7" s="66">
        <f t="shared" si="0"/>
        <v>0</v>
      </c>
    </row>
    <row r="8" spans="1:9" s="28" customFormat="1" ht="18" customHeight="1" x14ac:dyDescent="0.3">
      <c r="A8" s="58" t="s">
        <v>69</v>
      </c>
      <c r="B8" s="63"/>
      <c r="C8" s="64"/>
      <c r="D8" s="64"/>
      <c r="E8" s="64"/>
      <c r="F8" s="64"/>
      <c r="G8" s="64"/>
      <c r="H8" s="65"/>
      <c r="I8" s="66">
        <f t="shared" si="0"/>
        <v>0</v>
      </c>
    </row>
    <row r="9" spans="1:9" s="28" customFormat="1" ht="18" customHeight="1" x14ac:dyDescent="0.3">
      <c r="A9" s="58" t="s">
        <v>70</v>
      </c>
      <c r="B9" s="63"/>
      <c r="C9" s="64"/>
      <c r="D9" s="64"/>
      <c r="E9" s="64"/>
      <c r="F9" s="64"/>
      <c r="G9" s="64"/>
      <c r="H9" s="65"/>
      <c r="I9" s="66">
        <f t="shared" si="0"/>
        <v>0</v>
      </c>
    </row>
    <row r="10" spans="1:9" s="28" customFormat="1" ht="18" customHeight="1" x14ac:dyDescent="0.3">
      <c r="A10" s="58" t="s">
        <v>71</v>
      </c>
      <c r="B10" s="67"/>
      <c r="C10" s="68"/>
      <c r="D10" s="68"/>
      <c r="E10" s="68"/>
      <c r="F10" s="68"/>
      <c r="G10" s="68"/>
      <c r="H10" s="69"/>
      <c r="I10" s="70">
        <f t="shared" si="0"/>
        <v>0</v>
      </c>
    </row>
    <row r="11" spans="1:9" s="28" customFormat="1" ht="18" customHeight="1" x14ac:dyDescent="0.3">
      <c r="A11" s="58" t="s">
        <v>72</v>
      </c>
      <c r="B11" s="67"/>
      <c r="C11" s="68"/>
      <c r="D11" s="68"/>
      <c r="E11" s="68"/>
      <c r="F11" s="68"/>
      <c r="G11" s="68"/>
      <c r="H11" s="69"/>
      <c r="I11" s="70">
        <f t="shared" si="0"/>
        <v>0</v>
      </c>
    </row>
    <row r="12" spans="1:9" s="28" customFormat="1" ht="18" customHeight="1" x14ac:dyDescent="0.3">
      <c r="A12" s="58" t="s">
        <v>73</v>
      </c>
      <c r="B12" s="67"/>
      <c r="C12" s="68"/>
      <c r="D12" s="68"/>
      <c r="E12" s="68"/>
      <c r="F12" s="68"/>
      <c r="G12" s="68"/>
      <c r="H12" s="69"/>
      <c r="I12" s="70">
        <f t="shared" si="0"/>
        <v>0</v>
      </c>
    </row>
    <row r="13" spans="1:9" s="28" customFormat="1" ht="18" customHeight="1" x14ac:dyDescent="0.3">
      <c r="A13" s="58" t="s">
        <v>74</v>
      </c>
      <c r="B13" s="67"/>
      <c r="C13" s="68"/>
      <c r="D13" s="68"/>
      <c r="E13" s="68"/>
      <c r="F13" s="68"/>
      <c r="G13" s="68"/>
      <c r="H13" s="69"/>
      <c r="I13" s="70">
        <f t="shared" si="0"/>
        <v>0</v>
      </c>
    </row>
    <row r="14" spans="1:9" s="28" customFormat="1" ht="18" customHeight="1" x14ac:dyDescent="0.3">
      <c r="A14" s="58" t="s">
        <v>75</v>
      </c>
      <c r="B14" s="67"/>
      <c r="C14" s="68"/>
      <c r="D14" s="68"/>
      <c r="E14" s="68"/>
      <c r="F14" s="68"/>
      <c r="G14" s="68"/>
      <c r="H14" s="69"/>
      <c r="I14" s="70">
        <f t="shared" si="0"/>
        <v>0</v>
      </c>
    </row>
    <row r="15" spans="1:9" s="28" customFormat="1" ht="18" customHeight="1" x14ac:dyDescent="0.3">
      <c r="A15" s="58" t="s">
        <v>76</v>
      </c>
      <c r="B15" s="67"/>
      <c r="C15" s="68"/>
      <c r="D15" s="68"/>
      <c r="E15" s="68"/>
      <c r="F15" s="68"/>
      <c r="G15" s="68"/>
      <c r="H15" s="69"/>
      <c r="I15" s="70">
        <f t="shared" si="0"/>
        <v>0</v>
      </c>
    </row>
    <row r="16" spans="1:9" s="28" customFormat="1" ht="18" customHeight="1" x14ac:dyDescent="0.3">
      <c r="A16" s="58" t="s">
        <v>77</v>
      </c>
      <c r="B16" s="67"/>
      <c r="C16" s="68"/>
      <c r="D16" s="68"/>
      <c r="E16" s="68"/>
      <c r="F16" s="68"/>
      <c r="G16" s="68"/>
      <c r="H16" s="69"/>
      <c r="I16" s="70">
        <f t="shared" si="0"/>
        <v>0</v>
      </c>
    </row>
    <row r="17" spans="1:9" s="28" customFormat="1" ht="18" customHeight="1" x14ac:dyDescent="0.3">
      <c r="A17" s="58" t="s">
        <v>78</v>
      </c>
      <c r="B17" s="71"/>
      <c r="C17" s="72"/>
      <c r="D17" s="72"/>
      <c r="E17" s="72"/>
      <c r="F17" s="72"/>
      <c r="G17" s="72"/>
      <c r="H17" s="73"/>
      <c r="I17" s="70">
        <f t="shared" si="0"/>
        <v>0</v>
      </c>
    </row>
    <row r="18" spans="1:9" s="28" customFormat="1" ht="18" customHeight="1" x14ac:dyDescent="0.3">
      <c r="A18" s="58" t="s">
        <v>79</v>
      </c>
      <c r="B18" s="71"/>
      <c r="C18" s="72"/>
      <c r="D18" s="72"/>
      <c r="E18" s="72"/>
      <c r="F18" s="72"/>
      <c r="G18" s="72"/>
      <c r="H18" s="73"/>
      <c r="I18" s="70">
        <f t="shared" si="0"/>
        <v>0</v>
      </c>
    </row>
    <row r="19" spans="1:9" s="28" customFormat="1" ht="18" customHeight="1" x14ac:dyDescent="0.3">
      <c r="A19" s="58" t="s">
        <v>71</v>
      </c>
      <c r="B19" s="71"/>
      <c r="C19" s="72"/>
      <c r="D19" s="72"/>
      <c r="E19" s="72"/>
      <c r="F19" s="72"/>
      <c r="G19" s="72"/>
      <c r="H19" s="73"/>
      <c r="I19" s="70">
        <f t="shared" si="0"/>
        <v>0</v>
      </c>
    </row>
    <row r="20" spans="1:9" s="28" customFormat="1" ht="18" customHeight="1" x14ac:dyDescent="0.3">
      <c r="A20" s="58" t="s">
        <v>80</v>
      </c>
      <c r="B20" s="71"/>
      <c r="C20" s="72"/>
      <c r="D20" s="72"/>
      <c r="E20" s="72"/>
      <c r="F20" s="72"/>
      <c r="G20" s="72"/>
      <c r="H20" s="73"/>
      <c r="I20" s="70">
        <f t="shared" si="0"/>
        <v>0</v>
      </c>
    </row>
    <row r="21" spans="1:9" s="28" customFormat="1" ht="18" customHeight="1" x14ac:dyDescent="0.3">
      <c r="A21" s="58" t="s">
        <v>81</v>
      </c>
      <c r="B21" s="71"/>
      <c r="C21" s="72"/>
      <c r="D21" s="72"/>
      <c r="E21" s="72"/>
      <c r="F21" s="72"/>
      <c r="G21" s="72"/>
      <c r="H21" s="73"/>
      <c r="I21" s="70">
        <f t="shared" si="0"/>
        <v>0</v>
      </c>
    </row>
    <row r="22" spans="1:9" s="28" customFormat="1" ht="18" customHeight="1" thickBot="1" x14ac:dyDescent="0.35">
      <c r="A22" s="58" t="s">
        <v>71</v>
      </c>
      <c r="B22" s="74"/>
      <c r="C22" s="75"/>
      <c r="D22" s="75"/>
      <c r="E22" s="75"/>
      <c r="F22" s="75"/>
      <c r="G22" s="75"/>
      <c r="H22" s="76"/>
      <c r="I22" s="77">
        <f t="shared" si="0"/>
        <v>0</v>
      </c>
    </row>
    <row r="23" spans="1:9" s="28" customFormat="1" ht="19.5" thickBot="1" x14ac:dyDescent="0.35">
      <c r="A23" s="78"/>
      <c r="B23" s="79"/>
      <c r="C23" s="79"/>
      <c r="D23" s="79"/>
      <c r="E23" s="79"/>
      <c r="F23" s="79"/>
      <c r="G23" s="79"/>
      <c r="H23" s="79"/>
      <c r="I23" s="80"/>
    </row>
    <row r="24" spans="1:9" s="28" customFormat="1" ht="19.5" thickBot="1" x14ac:dyDescent="0.35"/>
    <row r="25" spans="1:9" s="28" customFormat="1" ht="18.75" x14ac:dyDescent="0.3">
      <c r="A25" s="83" t="s">
        <v>61</v>
      </c>
      <c r="B25" s="109"/>
      <c r="C25" s="84"/>
      <c r="E25" s="85" t="s">
        <v>62</v>
      </c>
      <c r="F25" s="86">
        <f>IF(B25=0,0,B27/B25)</f>
        <v>0</v>
      </c>
      <c r="G25" s="81"/>
      <c r="H25" s="81"/>
      <c r="I25" s="81"/>
    </row>
    <row r="26" spans="1:9" s="28" customFormat="1" ht="18.75" x14ac:dyDescent="0.3">
      <c r="A26" s="83" t="s">
        <v>63</v>
      </c>
      <c r="B26" s="110"/>
      <c r="C26" s="30"/>
      <c r="E26" s="85" t="s">
        <v>64</v>
      </c>
      <c r="F26" s="87">
        <f>IF(B25=0,0,(B27/(B25-B26-B28)))</f>
        <v>0</v>
      </c>
      <c r="G26" s="81"/>
      <c r="H26" s="81"/>
      <c r="I26" s="81"/>
    </row>
    <row r="27" spans="1:9" s="28" customFormat="1" ht="19.5" thickBot="1" x14ac:dyDescent="0.35">
      <c r="A27" s="83" t="s">
        <v>65</v>
      </c>
      <c r="B27" s="110"/>
      <c r="C27" s="30"/>
      <c r="E27" s="85" t="s">
        <v>66</v>
      </c>
      <c r="F27" s="88">
        <f>IF(B25=0,0,(B27+B26)/(B25-B28))</f>
        <v>0</v>
      </c>
      <c r="G27" s="81"/>
      <c r="H27" s="81"/>
      <c r="I27" s="81"/>
    </row>
    <row r="28" spans="1:9" s="28" customFormat="1" ht="19.5" thickBot="1" x14ac:dyDescent="0.35">
      <c r="A28" s="83" t="s">
        <v>67</v>
      </c>
      <c r="B28" s="111"/>
      <c r="C28" s="30"/>
      <c r="E28" s="30"/>
      <c r="F28" s="30"/>
      <c r="G28" s="82"/>
      <c r="H28" s="82"/>
      <c r="I28" s="81"/>
    </row>
    <row r="29" spans="1:9" s="29" customFormat="1" ht="18.75" x14ac:dyDescent="0.3">
      <c r="G29" s="84"/>
      <c r="H29" s="84"/>
      <c r="I29" s="84"/>
    </row>
    <row r="30" spans="1:9" x14ac:dyDescent="0.25">
      <c r="A30" s="107"/>
      <c r="B30" s="107"/>
      <c r="C30" s="107"/>
      <c r="D30" s="107"/>
      <c r="E30" s="107"/>
      <c r="F30" s="107"/>
      <c r="G30" s="107"/>
      <c r="H30" s="107"/>
      <c r="I30" s="107"/>
    </row>
  </sheetData>
  <sheetProtection insertColumns="0" insertRows="0" insertHyperlinks="0" deleteColumns="0" deleteRows="0"/>
  <pageMargins left="0.7" right="0.7" top="0.75" bottom="0.75" header="0.3" footer="0.3"/>
  <pageSetup scale="75" fitToHeight="0" orientation="landscape" errors="NA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ports">
    <pageSetUpPr fitToPage="1"/>
  </sheetPr>
  <dimension ref="A1:AA7"/>
  <sheetViews>
    <sheetView showGridLines="0" showRuler="0" view="pageLayout" zoomScale="102" zoomScaleNormal="100" zoomScalePageLayoutView="102" workbookViewId="0">
      <selection activeCell="B13" sqref="B13"/>
    </sheetView>
  </sheetViews>
  <sheetFormatPr defaultRowHeight="15" x14ac:dyDescent="0.25"/>
  <cols>
    <col min="1" max="1" width="7.42578125" style="122" customWidth="1"/>
    <col min="2" max="2" width="6.7109375" style="122" customWidth="1"/>
    <col min="3" max="3" width="8.140625" style="122" customWidth="1"/>
    <col min="4" max="4" width="6.5703125" style="122" customWidth="1"/>
    <col min="5" max="5" width="6" style="122" customWidth="1"/>
    <col min="6" max="6" width="8.140625" style="122" customWidth="1"/>
    <col min="7" max="8" width="8.7109375" style="122" customWidth="1"/>
    <col min="9" max="9" width="6.7109375" style="122" customWidth="1"/>
    <col min="10" max="10" width="5.5703125" style="122" customWidth="1"/>
    <col min="11" max="11" width="4.7109375" style="122" customWidth="1"/>
    <col min="12" max="12" width="5.28515625" style="122" customWidth="1"/>
    <col min="13" max="13" width="4.7109375" style="122" customWidth="1"/>
    <col min="14" max="15" width="6" style="122" customWidth="1"/>
    <col min="16" max="16" width="7.7109375" style="122" customWidth="1"/>
    <col min="17" max="17" width="6.85546875" style="122" customWidth="1"/>
    <col min="18" max="18" width="8" style="122" customWidth="1"/>
    <col min="19" max="19" width="9.140625" style="122" customWidth="1"/>
    <col min="20" max="20" width="10" style="122" customWidth="1"/>
    <col min="21" max="22" width="9.85546875" style="122" customWidth="1"/>
    <col min="23" max="23" width="10" style="122" customWidth="1"/>
    <col min="24" max="24" width="8.28515625" style="122" customWidth="1"/>
    <col min="25" max="25" width="9" style="122" customWidth="1"/>
    <col min="26" max="26" width="8.42578125" style="122" customWidth="1"/>
    <col min="27" max="27" width="7.28515625" style="122" customWidth="1"/>
    <col min="28" max="16384" width="9.140625" style="122"/>
  </cols>
  <sheetData>
    <row r="1" spans="1:27" ht="19.5" customHeight="1" thickBot="1" x14ac:dyDescent="0.3">
      <c r="A1" s="208" t="s">
        <v>154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 t="s">
        <v>153</v>
      </c>
      <c r="T1" s="208"/>
      <c r="U1" s="208"/>
      <c r="V1" s="208"/>
      <c r="W1" s="208"/>
      <c r="X1" s="208"/>
      <c r="Y1" s="208"/>
      <c r="Z1" s="208"/>
      <c r="AA1" s="208"/>
    </row>
    <row r="2" spans="1:27" x14ac:dyDescent="0.25">
      <c r="A2" s="206" t="s">
        <v>118</v>
      </c>
      <c r="B2" s="206"/>
      <c r="C2" s="210"/>
      <c r="D2" s="210"/>
      <c r="S2" s="206" t="s">
        <v>164</v>
      </c>
      <c r="T2" s="206"/>
      <c r="U2" s="195"/>
      <c r="V2" s="195"/>
    </row>
    <row r="3" spans="1:27" ht="15" customHeight="1" x14ac:dyDescent="0.25">
      <c r="A3" s="206" t="s">
        <v>119</v>
      </c>
      <c r="B3" s="206"/>
      <c r="C3" s="210"/>
      <c r="D3" s="210"/>
      <c r="S3" s="209" t="s">
        <v>165</v>
      </c>
      <c r="T3" s="209"/>
      <c r="U3" s="209"/>
      <c r="V3" s="209"/>
      <c r="W3" s="209"/>
      <c r="X3" s="209"/>
      <c r="Y3" s="209"/>
      <c r="Z3" s="209"/>
      <c r="AA3" s="209"/>
    </row>
    <row r="4" spans="1:27" ht="15.75" thickBot="1" x14ac:dyDescent="0.3"/>
    <row r="5" spans="1:27" ht="32.25" customHeight="1" thickBot="1" x14ac:dyDescent="0.3">
      <c r="A5" s="146" t="s">
        <v>120</v>
      </c>
      <c r="B5" s="147" t="s">
        <v>86</v>
      </c>
      <c r="C5" s="148" t="s">
        <v>87</v>
      </c>
      <c r="D5" s="149" t="s">
        <v>88</v>
      </c>
      <c r="E5" s="147" t="s">
        <v>89</v>
      </c>
      <c r="F5" s="150" t="s">
        <v>121</v>
      </c>
      <c r="G5" s="143" t="s">
        <v>152</v>
      </c>
      <c r="H5" s="151" t="s">
        <v>122</v>
      </c>
      <c r="I5" s="152" t="s">
        <v>123</v>
      </c>
      <c r="J5" s="150" t="s">
        <v>124</v>
      </c>
      <c r="K5" s="150" t="s">
        <v>125</v>
      </c>
      <c r="L5" s="150" t="s">
        <v>126</v>
      </c>
      <c r="M5" s="150" t="s">
        <v>127</v>
      </c>
      <c r="N5" s="148" t="s">
        <v>128</v>
      </c>
      <c r="O5" s="149" t="s">
        <v>129</v>
      </c>
      <c r="P5" s="147" t="s">
        <v>130</v>
      </c>
      <c r="Q5" s="148" t="s">
        <v>131</v>
      </c>
      <c r="R5" s="153" t="s">
        <v>132</v>
      </c>
      <c r="S5" s="187" t="s">
        <v>163</v>
      </c>
      <c r="T5" s="186" t="s">
        <v>155</v>
      </c>
      <c r="U5" s="185" t="s">
        <v>156</v>
      </c>
      <c r="V5" s="185" t="s">
        <v>157</v>
      </c>
      <c r="W5" s="185" t="s">
        <v>158</v>
      </c>
      <c r="X5" s="185" t="s">
        <v>159</v>
      </c>
      <c r="Y5" s="185" t="s">
        <v>160</v>
      </c>
      <c r="Z5" s="185" t="s">
        <v>161</v>
      </c>
      <c r="AA5" s="185" t="s">
        <v>162</v>
      </c>
    </row>
    <row r="6" spans="1:27" x14ac:dyDescent="0.25">
      <c r="A6" s="165"/>
      <c r="B6" s="166"/>
      <c r="C6" s="167"/>
      <c r="D6" s="168">
        <f t="shared" ref="D6" si="0">B6-C6</f>
        <v>0</v>
      </c>
      <c r="E6" s="166"/>
      <c r="F6" s="169" t="e">
        <f>E6/D6</f>
        <v>#DIV/0!</v>
      </c>
      <c r="G6" s="170"/>
      <c r="H6" s="171" t="e">
        <f t="shared" ref="H6" si="1">G6/E6</f>
        <v>#DIV/0!</v>
      </c>
      <c r="I6" s="172"/>
      <c r="J6" s="173"/>
      <c r="K6" s="174"/>
      <c r="L6" s="173"/>
      <c r="M6" s="173"/>
      <c r="N6" s="175"/>
      <c r="O6" s="176"/>
      <c r="P6" s="166">
        <f>Production[Net Issued]-Production[Saves (Ct)]</f>
        <v>0</v>
      </c>
      <c r="Q6" s="167">
        <v>0</v>
      </c>
      <c r="R6" s="177" t="e">
        <f t="shared" ref="R6" si="2">Q6/P6</f>
        <v>#DIV/0!</v>
      </c>
      <c r="S6" s="184">
        <v>11111</v>
      </c>
      <c r="T6" s="188"/>
      <c r="U6" s="189"/>
      <c r="V6" s="190"/>
      <c r="W6" s="191"/>
      <c r="X6" s="192"/>
      <c r="Y6" s="193"/>
      <c r="Z6" s="194"/>
      <c r="AA6" s="191">
        <f t="shared" ref="AA6" si="3">SUM(V6:Z6)</f>
        <v>0</v>
      </c>
    </row>
    <row r="7" spans="1:27" ht="15.75" thickBot="1" x14ac:dyDescent="0.3">
      <c r="A7" s="154" t="s">
        <v>60</v>
      </c>
      <c r="B7" s="155">
        <f>SUBTOTAL(109,Production[Orders Issued])</f>
        <v>0</v>
      </c>
      <c r="C7" s="156">
        <f>SUBTOTAL(109,Production[RS/Dups Other])</f>
        <v>0</v>
      </c>
      <c r="D7" s="157">
        <f>Production[[#Totals],[Orders Issued]]-Production[[#Totals],[RS/Dups Other]]</f>
        <v>0</v>
      </c>
      <c r="E7" s="155">
        <f>SUBTOTAL(109,Production[Saves (Ct)])</f>
        <v>0</v>
      </c>
      <c r="F7" s="158" t="e">
        <f>Production[[#Totals],[Saves (Ct)]]/Production[[#Totals],[Net Issued]]</f>
        <v>#DIV/0!</v>
      </c>
      <c r="G7" s="144">
        <f>SUBTOTAL(109,Production[Saves ($)])</f>
        <v>0</v>
      </c>
      <c r="H7" s="159" t="e">
        <f>Production[[#Totals],[Saves ($)]]/Production[[#Totals],[Saves (Ct)]]</f>
        <v>#DIV/0!</v>
      </c>
      <c r="I7" s="160">
        <f>SUBTOTAL(109,Production[EQ Assn''d])</f>
        <v>0</v>
      </c>
      <c r="J7" s="161">
        <f>SUBTOTAL(109,Production[CPE Ret''d])</f>
        <v>0</v>
      </c>
      <c r="K7" s="162" t="e">
        <f>Production[[#Totals],[CPE Ret''d]]/Production[[#Totals],[EQ Assn''d]]</f>
        <v>#DIV/0!</v>
      </c>
      <c r="L7" s="161">
        <f>SUBTOTAL(109,Production[Prem Dig])</f>
        <v>0</v>
      </c>
      <c r="M7" s="161">
        <f>SUBTOTAL(109,Production[Std Dig])</f>
        <v>0</v>
      </c>
      <c r="N7" s="156">
        <f>SUBTOTAL(109,Production[eMTA   MTA])</f>
        <v>0</v>
      </c>
      <c r="O7" s="163">
        <f>SUBTOTAL(109,Production[Home Sec])</f>
        <v>0</v>
      </c>
      <c r="P7" s="155">
        <f>SUBTOTAL(109,Production[To Be Disco''d])</f>
        <v>0</v>
      </c>
      <c r="Q7" s="156">
        <f>SUBTOTAL(109,Production[Discos Done])</f>
        <v>0</v>
      </c>
      <c r="R7" s="164" t="e">
        <f>Production[[#Totals],[Discos Done]]/Production[[#Totals],[To Be Disco''d]]</f>
        <v>#DIV/0!</v>
      </c>
      <c r="S7" s="145" t="s">
        <v>60</v>
      </c>
      <c r="T7" s="178">
        <f>SUBTOTAL(104,Production7[Issue        Date])</f>
        <v>0</v>
      </c>
      <c r="U7" s="179">
        <f>SUBTOTAL(104,Production7[Turn In       Date])</f>
        <v>0</v>
      </c>
      <c r="V7" s="180">
        <f>SUBTOTAL(109,Production7[Premium Digital])</f>
        <v>0</v>
      </c>
      <c r="W7" s="178">
        <f>SUBTOTAL(109,Production7[Standard  Digital])</f>
        <v>0</v>
      </c>
      <c r="X7" s="181">
        <f>SUBTOTAL(109,Production7[eMTA      MTA])</f>
        <v>0</v>
      </c>
      <c r="Y7" s="182">
        <f>SUBTOTAL(109,Production7[Modem/ Router])</f>
        <v>0</v>
      </c>
      <c r="Z7" s="183">
        <f>SUBTOTAL(109,Production7[Home Security])</f>
        <v>0</v>
      </c>
      <c r="AA7" s="178">
        <f>SUBTOTAL(109,Production7[Total])</f>
        <v>0</v>
      </c>
    </row>
  </sheetData>
  <sheetProtection sort="0" autoFilter="0" pivotTables="0"/>
  <mergeCells count="8">
    <mergeCell ref="S1:AA1"/>
    <mergeCell ref="S2:T2"/>
    <mergeCell ref="S3:AA3"/>
    <mergeCell ref="A1:R1"/>
    <mergeCell ref="A2:B2"/>
    <mergeCell ref="A3:B3"/>
    <mergeCell ref="C2:D2"/>
    <mergeCell ref="C3:D3"/>
  </mergeCells>
  <pageMargins left="0.7" right="0.7" top="0.75" bottom="0.75" header="0.3" footer="0.3"/>
  <pageSetup fitToWidth="2" fitToHeight="0" orientation="landscape" r:id="rId1"/>
  <headerFooter>
    <oddHeader>&amp;L&amp;"-,Bold"Weekly Reports</oddHeader>
  </headerFooter>
  <colBreaks count="1" manualBreakCount="1">
    <brk id="18" max="1048575" man="1"/>
  </colBreak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cking"/>
  <dimension ref="A1"/>
  <sheetViews>
    <sheetView workbookViewId="0">
      <selection activeCell="G26" sqref="G26"/>
    </sheetView>
  </sheetViews>
  <sheetFormatPr defaultRowHeight="15" x14ac:dyDescent="0.25"/>
  <cols>
    <col min="1" max="16384" width="9.140625" style="25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:BL1502"/>
  <sheetViews>
    <sheetView workbookViewId="0">
      <selection sqref="A1:XFD1048576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3.5703125" style="122" bestFit="1" customWidth="1"/>
    <col min="5" max="5" width="12.7109375" style="122" bestFit="1" customWidth="1"/>
    <col min="6" max="8" width="0" style="122" hidden="1" customWidth="1"/>
    <col min="9" max="9" width="25.8554687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16384" width="9.140625" style="122"/>
  </cols>
  <sheetData>
    <row r="2" spans="5:61" x14ac:dyDescent="0.25">
      <c r="E2" s="123"/>
      <c r="R2" s="142"/>
      <c r="Y2" s="141"/>
      <c r="AA2" s="141"/>
      <c r="AC2" s="141"/>
      <c r="AO2" s="141"/>
      <c r="AP2" s="141"/>
      <c r="AQ2" s="141"/>
      <c r="AR2" s="141"/>
      <c r="AS2" s="141"/>
      <c r="AT2" s="141"/>
      <c r="AU2" s="141"/>
      <c r="AY2" s="141"/>
      <c r="BI2" s="142"/>
    </row>
    <row r="3" spans="5:61" x14ac:dyDescent="0.25">
      <c r="E3" s="123"/>
      <c r="O3" s="141"/>
      <c r="P3" s="141"/>
      <c r="R3" s="142"/>
      <c r="Y3" s="141"/>
      <c r="AA3" s="141"/>
      <c r="AO3" s="141"/>
      <c r="AP3" s="141"/>
      <c r="AQ3" s="141"/>
      <c r="AR3" s="141"/>
      <c r="AS3" s="141"/>
      <c r="AT3" s="141"/>
      <c r="AU3" s="141"/>
      <c r="AY3" s="141"/>
      <c r="BI3" s="142"/>
    </row>
    <row r="4" spans="5:61" x14ac:dyDescent="0.25">
      <c r="E4" s="123"/>
      <c r="O4" s="141"/>
      <c r="P4" s="141"/>
      <c r="R4" s="142"/>
      <c r="Y4" s="141"/>
      <c r="AA4" s="141"/>
      <c r="AC4" s="141"/>
      <c r="AO4" s="141"/>
      <c r="AP4" s="141"/>
      <c r="AQ4" s="141"/>
      <c r="AR4" s="141"/>
      <c r="AS4" s="141"/>
      <c r="AT4" s="141"/>
      <c r="AU4" s="141"/>
      <c r="AY4" s="141"/>
      <c r="BI4" s="142"/>
    </row>
    <row r="5" spans="5:61" x14ac:dyDescent="0.25">
      <c r="E5" s="123"/>
      <c r="O5" s="141"/>
      <c r="P5" s="141"/>
      <c r="R5" s="142"/>
      <c r="Y5" s="141"/>
      <c r="AA5" s="141"/>
      <c r="AC5" s="141"/>
      <c r="AO5" s="141"/>
      <c r="AP5" s="141"/>
      <c r="AQ5" s="141"/>
      <c r="AR5" s="141"/>
      <c r="AS5" s="141"/>
      <c r="AT5" s="141"/>
      <c r="AU5" s="141"/>
      <c r="AY5" s="141"/>
      <c r="BI5" s="142"/>
    </row>
    <row r="6" spans="5:61" x14ac:dyDescent="0.25">
      <c r="E6" s="123"/>
      <c r="O6" s="141"/>
      <c r="P6" s="141"/>
      <c r="R6" s="142"/>
      <c r="Y6" s="141"/>
      <c r="AA6" s="141"/>
      <c r="AC6" s="141"/>
      <c r="AO6" s="141"/>
      <c r="AP6" s="141"/>
      <c r="AQ6" s="141"/>
      <c r="AR6" s="141"/>
      <c r="AS6" s="141"/>
      <c r="AT6" s="141"/>
      <c r="AU6" s="141"/>
      <c r="AX6" s="141"/>
      <c r="AY6" s="141"/>
      <c r="BC6" s="141"/>
      <c r="BI6" s="142"/>
    </row>
    <row r="7" spans="5:61" x14ac:dyDescent="0.25">
      <c r="E7" s="123"/>
      <c r="O7" s="141"/>
      <c r="P7" s="141"/>
      <c r="R7" s="142"/>
      <c r="Y7" s="141"/>
      <c r="AA7" s="141"/>
      <c r="AO7" s="141"/>
      <c r="AP7" s="141"/>
      <c r="AQ7" s="141"/>
      <c r="AR7" s="141"/>
      <c r="AS7" s="141"/>
      <c r="AT7" s="141"/>
      <c r="AU7" s="141"/>
      <c r="AY7" s="141"/>
      <c r="BI7" s="142"/>
    </row>
    <row r="8" spans="5:61" x14ac:dyDescent="0.25">
      <c r="E8" s="123"/>
      <c r="O8" s="141"/>
      <c r="P8" s="141"/>
      <c r="R8" s="142"/>
      <c r="Y8" s="141"/>
      <c r="AA8" s="141"/>
      <c r="AO8" s="141"/>
      <c r="AP8" s="141"/>
      <c r="AQ8" s="141"/>
      <c r="AR8" s="141"/>
      <c r="AS8" s="141"/>
      <c r="AT8" s="141"/>
      <c r="AU8" s="141"/>
      <c r="AY8" s="141"/>
      <c r="BI8" s="142"/>
    </row>
    <row r="9" spans="5:61" x14ac:dyDescent="0.25">
      <c r="E9" s="123"/>
      <c r="O9" s="141"/>
      <c r="P9" s="141"/>
      <c r="R9" s="142"/>
      <c r="Y9" s="141"/>
      <c r="AA9" s="141"/>
      <c r="AC9" s="141"/>
      <c r="AO9" s="141"/>
      <c r="AP9" s="141"/>
      <c r="AQ9" s="141"/>
      <c r="AR9" s="141"/>
      <c r="AS9" s="141"/>
      <c r="AT9" s="141"/>
      <c r="AU9" s="141"/>
      <c r="AY9" s="141"/>
      <c r="BC9" s="141"/>
      <c r="BI9" s="142"/>
    </row>
    <row r="10" spans="5:61" x14ac:dyDescent="0.25">
      <c r="E10" s="123"/>
      <c r="O10" s="141"/>
      <c r="P10" s="141"/>
      <c r="R10" s="142"/>
      <c r="Y10" s="141"/>
      <c r="AA10" s="141"/>
      <c r="AC10" s="141"/>
      <c r="AO10" s="141"/>
      <c r="AP10" s="141"/>
      <c r="AQ10" s="141"/>
      <c r="AR10" s="141"/>
      <c r="AS10" s="141"/>
      <c r="AT10" s="141"/>
      <c r="AU10" s="141"/>
      <c r="AY10" s="141"/>
      <c r="BI10" s="142"/>
    </row>
    <row r="11" spans="5:61" x14ac:dyDescent="0.25">
      <c r="E11" s="123"/>
      <c r="O11" s="141"/>
      <c r="P11" s="141"/>
      <c r="R11" s="142"/>
      <c r="Y11" s="141"/>
      <c r="AA11" s="141"/>
      <c r="AC11" s="141"/>
      <c r="AO11" s="141"/>
      <c r="AP11" s="141"/>
      <c r="AQ11" s="141"/>
      <c r="AR11" s="141"/>
      <c r="AS11" s="141"/>
      <c r="AT11" s="141"/>
      <c r="AU11" s="141"/>
      <c r="AY11" s="141"/>
      <c r="BI11" s="142"/>
    </row>
    <row r="12" spans="5:61" x14ac:dyDescent="0.25">
      <c r="E12" s="123"/>
      <c r="O12" s="141"/>
      <c r="P12" s="141"/>
      <c r="R12" s="142"/>
      <c r="Y12" s="141"/>
      <c r="AA12" s="141"/>
      <c r="AC12" s="141"/>
      <c r="AO12" s="141"/>
      <c r="AP12" s="141"/>
      <c r="AQ12" s="141"/>
      <c r="AR12" s="141"/>
      <c r="AS12" s="141"/>
      <c r="AT12" s="141"/>
      <c r="AU12" s="141"/>
      <c r="AY12" s="141"/>
      <c r="BC12" s="141"/>
      <c r="BI12" s="142"/>
    </row>
    <row r="13" spans="5:61" x14ac:dyDescent="0.25">
      <c r="E13" s="123"/>
      <c r="O13" s="141"/>
      <c r="P13" s="141"/>
      <c r="R13" s="142"/>
      <c r="Y13" s="141"/>
      <c r="AA13" s="141"/>
      <c r="AC13" s="141"/>
      <c r="AO13" s="141"/>
      <c r="AP13" s="141"/>
      <c r="AQ13" s="141"/>
      <c r="AR13" s="141"/>
      <c r="AS13" s="141"/>
      <c r="AT13" s="141"/>
      <c r="AU13" s="141"/>
      <c r="AY13" s="141"/>
      <c r="BI13" s="142"/>
    </row>
    <row r="14" spans="5:61" x14ac:dyDescent="0.25">
      <c r="E14" s="123"/>
      <c r="R14" s="142"/>
      <c r="Y14" s="141"/>
      <c r="AA14" s="141"/>
      <c r="AC14" s="141"/>
      <c r="AO14" s="141"/>
      <c r="AP14" s="141"/>
      <c r="AQ14" s="141"/>
      <c r="AR14" s="141"/>
      <c r="AS14" s="141"/>
      <c r="AT14" s="141"/>
      <c r="AU14" s="141"/>
      <c r="AY14" s="141"/>
      <c r="BI14" s="142"/>
    </row>
    <row r="15" spans="5:61" x14ac:dyDescent="0.25">
      <c r="E15" s="123"/>
      <c r="O15" s="141"/>
      <c r="P15" s="141"/>
      <c r="R15" s="142"/>
      <c r="Y15" s="141"/>
      <c r="AA15" s="141"/>
      <c r="AC15" s="141"/>
      <c r="AO15" s="141"/>
      <c r="AP15" s="141"/>
      <c r="AQ15" s="141"/>
      <c r="AR15" s="141"/>
      <c r="AS15" s="141"/>
      <c r="AT15" s="141"/>
      <c r="AU15" s="141"/>
      <c r="AY15" s="141"/>
      <c r="BI15" s="142"/>
    </row>
    <row r="16" spans="5:61" x14ac:dyDescent="0.25">
      <c r="E16" s="123"/>
      <c r="O16" s="141"/>
      <c r="P16" s="141"/>
      <c r="R16" s="142"/>
      <c r="Y16" s="141"/>
      <c r="AA16" s="141"/>
      <c r="AC16" s="141"/>
      <c r="AO16" s="141"/>
      <c r="AP16" s="141"/>
      <c r="AQ16" s="141"/>
      <c r="AR16" s="141"/>
      <c r="AS16" s="141"/>
      <c r="AT16" s="141"/>
      <c r="AU16" s="141"/>
      <c r="AY16" s="141"/>
      <c r="BI16" s="142"/>
    </row>
    <row r="17" spans="5:61" x14ac:dyDescent="0.25">
      <c r="E17" s="123"/>
      <c r="O17" s="141"/>
      <c r="P17" s="141"/>
      <c r="R17" s="142"/>
      <c r="Y17" s="141"/>
      <c r="AA17" s="141"/>
      <c r="AC17" s="141"/>
      <c r="AO17" s="141"/>
      <c r="AP17" s="141"/>
      <c r="AQ17" s="141"/>
      <c r="AR17" s="141"/>
      <c r="AS17" s="141"/>
      <c r="AT17" s="141"/>
      <c r="AU17" s="141"/>
      <c r="AY17" s="141"/>
      <c r="BI17" s="142"/>
    </row>
    <row r="18" spans="5:61" x14ac:dyDescent="0.25">
      <c r="E18" s="123"/>
      <c r="O18" s="141"/>
      <c r="P18" s="141"/>
      <c r="R18" s="142"/>
      <c r="Y18" s="141"/>
      <c r="AA18" s="141"/>
      <c r="AC18" s="141"/>
      <c r="AO18" s="141"/>
      <c r="AP18" s="141"/>
      <c r="AQ18" s="141"/>
      <c r="AR18" s="141"/>
      <c r="AS18" s="141"/>
      <c r="AT18" s="141"/>
      <c r="AU18" s="141"/>
      <c r="AY18" s="141"/>
      <c r="BI18" s="142"/>
    </row>
    <row r="19" spans="5:61" x14ac:dyDescent="0.25">
      <c r="E19" s="123"/>
      <c r="O19" s="141"/>
      <c r="P19" s="141"/>
      <c r="R19" s="142"/>
      <c r="Y19" s="141"/>
      <c r="AA19" s="141"/>
      <c r="AC19" s="141"/>
      <c r="AO19" s="141"/>
      <c r="AP19" s="141"/>
      <c r="AQ19" s="141"/>
      <c r="AR19" s="141"/>
      <c r="AS19" s="141"/>
      <c r="AT19" s="141"/>
      <c r="AU19" s="141"/>
      <c r="AY19" s="141"/>
      <c r="BI19" s="142"/>
    </row>
    <row r="20" spans="5:61" x14ac:dyDescent="0.25">
      <c r="E20" s="123"/>
      <c r="O20" s="141"/>
      <c r="P20" s="141"/>
      <c r="R20" s="142"/>
      <c r="Y20" s="141"/>
      <c r="AA20" s="141"/>
      <c r="AC20" s="141"/>
      <c r="AO20" s="141"/>
      <c r="AP20" s="141"/>
      <c r="AQ20" s="141"/>
      <c r="AR20" s="141"/>
      <c r="AS20" s="141"/>
      <c r="AT20" s="141"/>
      <c r="AU20" s="141"/>
      <c r="AY20" s="141"/>
      <c r="BI20" s="142"/>
    </row>
    <row r="21" spans="5:61" x14ac:dyDescent="0.25">
      <c r="E21" s="123"/>
      <c r="O21" s="141"/>
      <c r="P21" s="141"/>
      <c r="R21" s="142"/>
      <c r="Y21" s="141"/>
      <c r="AA21" s="141"/>
      <c r="AC21" s="141"/>
      <c r="AO21" s="141"/>
      <c r="AP21" s="141"/>
      <c r="AQ21" s="141"/>
      <c r="AR21" s="141"/>
      <c r="AS21" s="141"/>
      <c r="AT21" s="141"/>
      <c r="AU21" s="141"/>
      <c r="AY21" s="141"/>
      <c r="BI21" s="142"/>
    </row>
    <row r="22" spans="5:61" x14ac:dyDescent="0.25">
      <c r="E22" s="123"/>
      <c r="O22" s="141"/>
      <c r="P22" s="141"/>
      <c r="R22" s="142"/>
      <c r="Y22" s="141"/>
      <c r="AA22" s="141"/>
      <c r="AC22" s="141"/>
      <c r="AO22" s="141"/>
      <c r="AP22" s="141"/>
      <c r="AQ22" s="141"/>
      <c r="AR22" s="141"/>
      <c r="AS22" s="141"/>
      <c r="AT22" s="141"/>
      <c r="AU22" s="141"/>
      <c r="AY22" s="141"/>
      <c r="BI22" s="142"/>
    </row>
    <row r="23" spans="5:61" x14ac:dyDescent="0.25">
      <c r="E23" s="123"/>
      <c r="R23" s="142"/>
      <c r="Y23" s="141"/>
      <c r="AA23" s="141"/>
      <c r="AC23" s="141"/>
      <c r="AO23" s="141"/>
      <c r="AP23" s="141"/>
      <c r="AQ23" s="141"/>
      <c r="AR23" s="141"/>
      <c r="AS23" s="141"/>
      <c r="AT23" s="141"/>
      <c r="AU23" s="141"/>
      <c r="AY23" s="141"/>
      <c r="BI23" s="142"/>
    </row>
    <row r="24" spans="5:61" x14ac:dyDescent="0.25">
      <c r="E24" s="123"/>
      <c r="O24" s="141"/>
      <c r="P24" s="141"/>
      <c r="R24" s="142"/>
      <c r="Y24" s="141"/>
      <c r="AA24" s="141"/>
      <c r="AC24" s="141"/>
      <c r="AO24" s="141"/>
      <c r="AP24" s="141"/>
      <c r="AQ24" s="141"/>
      <c r="AR24" s="141"/>
      <c r="AS24" s="141"/>
      <c r="AT24" s="141"/>
      <c r="AU24" s="141"/>
      <c r="AY24" s="141"/>
      <c r="BI24" s="142"/>
    </row>
    <row r="25" spans="5:61" x14ac:dyDescent="0.25">
      <c r="E25" s="123"/>
      <c r="O25" s="141"/>
      <c r="P25" s="141"/>
      <c r="R25" s="142"/>
      <c r="AO25" s="141"/>
      <c r="AP25" s="141"/>
      <c r="AQ25" s="141"/>
      <c r="AR25" s="141"/>
      <c r="AS25" s="141"/>
      <c r="AT25" s="141"/>
      <c r="AU25" s="141"/>
      <c r="AY25" s="141"/>
      <c r="BI25" s="142"/>
    </row>
    <row r="26" spans="5:61" x14ac:dyDescent="0.25">
      <c r="E26" s="123"/>
      <c r="O26" s="141"/>
      <c r="P26" s="141"/>
      <c r="R26" s="142"/>
      <c r="AO26" s="141"/>
      <c r="AP26" s="141"/>
      <c r="AQ26" s="141"/>
      <c r="AR26" s="141"/>
      <c r="AS26" s="141"/>
      <c r="AT26" s="141"/>
      <c r="AU26" s="141"/>
      <c r="AY26" s="141"/>
      <c r="BI26" s="142"/>
    </row>
    <row r="27" spans="5:61" x14ac:dyDescent="0.25">
      <c r="E27" s="123"/>
      <c r="O27" s="141"/>
      <c r="P27" s="141"/>
      <c r="R27" s="142"/>
      <c r="Y27" s="141"/>
      <c r="AA27" s="141"/>
      <c r="AC27" s="141"/>
      <c r="AO27" s="141"/>
      <c r="AP27" s="141"/>
      <c r="AQ27" s="141"/>
      <c r="AR27" s="141"/>
      <c r="AS27" s="141"/>
      <c r="AT27" s="141"/>
      <c r="AU27" s="141"/>
      <c r="AY27" s="141"/>
      <c r="BC27" s="141"/>
      <c r="BI27" s="142"/>
    </row>
    <row r="28" spans="5:61" x14ac:dyDescent="0.25">
      <c r="E28" s="123"/>
      <c r="O28" s="141"/>
      <c r="P28" s="141"/>
      <c r="R28" s="142"/>
      <c r="Y28" s="141"/>
      <c r="AA28" s="141"/>
      <c r="AC28" s="141"/>
      <c r="AO28" s="141"/>
      <c r="AP28" s="141"/>
      <c r="AQ28" s="141"/>
      <c r="AR28" s="141"/>
      <c r="AS28" s="141"/>
      <c r="AT28" s="141"/>
      <c r="AU28" s="141"/>
      <c r="AY28" s="141"/>
      <c r="BI28" s="142"/>
    </row>
    <row r="29" spans="5:61" x14ac:dyDescent="0.25">
      <c r="E29" s="123"/>
      <c r="O29" s="141"/>
      <c r="P29" s="141"/>
      <c r="R29" s="142"/>
      <c r="Y29" s="141"/>
      <c r="AA29" s="141"/>
      <c r="AC29" s="141"/>
      <c r="AO29" s="141"/>
      <c r="AP29" s="141"/>
      <c r="AQ29" s="141"/>
      <c r="AR29" s="141"/>
      <c r="AS29" s="141"/>
      <c r="AT29" s="141"/>
      <c r="AU29" s="141"/>
      <c r="AX29" s="141"/>
      <c r="AY29" s="141"/>
      <c r="BI29" s="142"/>
    </row>
    <row r="30" spans="5:61" x14ac:dyDescent="0.25">
      <c r="E30" s="123"/>
      <c r="O30" s="141"/>
      <c r="P30" s="141"/>
      <c r="R30" s="142"/>
      <c r="Y30" s="141"/>
      <c r="AO30" s="141"/>
      <c r="AP30" s="141"/>
      <c r="AQ30" s="141"/>
      <c r="AR30" s="141"/>
      <c r="AS30" s="141"/>
      <c r="AT30" s="141"/>
      <c r="AU30" s="141"/>
      <c r="AY30" s="141"/>
      <c r="BI30" s="142"/>
    </row>
    <row r="31" spans="5:61" x14ac:dyDescent="0.25">
      <c r="E31" s="123"/>
      <c r="O31" s="141"/>
      <c r="P31" s="141"/>
      <c r="R31" s="142"/>
      <c r="Y31" s="141"/>
      <c r="AO31" s="141"/>
      <c r="AP31" s="141"/>
      <c r="AQ31" s="141"/>
      <c r="AR31" s="141"/>
      <c r="AS31" s="141"/>
      <c r="AT31" s="141"/>
      <c r="AU31" s="141"/>
      <c r="AY31" s="141"/>
      <c r="BI31" s="142"/>
    </row>
    <row r="32" spans="5:61" x14ac:dyDescent="0.25">
      <c r="E32" s="123"/>
      <c r="O32" s="141"/>
      <c r="P32" s="141"/>
      <c r="R32" s="142"/>
      <c r="Y32" s="141"/>
      <c r="AA32" s="141"/>
      <c r="AC32" s="141"/>
      <c r="AO32" s="141"/>
      <c r="AP32" s="141"/>
      <c r="AQ32" s="141"/>
      <c r="AR32" s="141"/>
      <c r="AS32" s="141"/>
      <c r="AT32" s="141"/>
      <c r="AU32" s="141"/>
      <c r="AY32" s="141"/>
      <c r="BI32" s="142"/>
    </row>
    <row r="33" spans="5:61" x14ac:dyDescent="0.25">
      <c r="E33" s="123"/>
      <c r="O33" s="141"/>
      <c r="P33" s="141"/>
      <c r="R33" s="142"/>
      <c r="Y33" s="141"/>
      <c r="AA33" s="141"/>
      <c r="AC33" s="141"/>
      <c r="AO33" s="141"/>
      <c r="AP33" s="141"/>
      <c r="AQ33" s="141"/>
      <c r="AR33" s="141"/>
      <c r="AS33" s="141"/>
      <c r="AT33" s="141"/>
      <c r="AU33" s="141"/>
      <c r="AY33" s="141"/>
      <c r="BI33" s="142"/>
    </row>
    <row r="34" spans="5:61" x14ac:dyDescent="0.25">
      <c r="E34" s="123"/>
      <c r="O34" s="141"/>
      <c r="P34" s="141"/>
      <c r="R34" s="142"/>
      <c r="Y34" s="141"/>
      <c r="AA34" s="141"/>
      <c r="AC34" s="141"/>
      <c r="AO34" s="141"/>
      <c r="AP34" s="141"/>
      <c r="AQ34" s="141"/>
      <c r="AR34" s="141"/>
      <c r="AS34" s="141"/>
      <c r="AT34" s="141"/>
      <c r="AU34" s="141"/>
      <c r="AY34" s="141"/>
      <c r="BC34" s="141"/>
      <c r="BI34" s="142"/>
    </row>
    <row r="35" spans="5:61" x14ac:dyDescent="0.25">
      <c r="E35" s="123"/>
      <c r="O35" s="141"/>
      <c r="P35" s="141"/>
      <c r="R35" s="142"/>
      <c r="Y35" s="141"/>
      <c r="AA35" s="141"/>
      <c r="AC35" s="141"/>
      <c r="AO35" s="141"/>
      <c r="AP35" s="141"/>
      <c r="AQ35" s="141"/>
      <c r="AR35" s="141"/>
      <c r="AS35" s="141"/>
      <c r="AT35" s="141"/>
      <c r="AU35" s="141"/>
      <c r="AY35" s="141"/>
      <c r="BI35" s="142"/>
    </row>
    <row r="36" spans="5:61" x14ac:dyDescent="0.25">
      <c r="E36" s="123"/>
      <c r="R36" s="142"/>
      <c r="Y36" s="141"/>
      <c r="AA36" s="141"/>
      <c r="AC36" s="141"/>
      <c r="AO36" s="141"/>
      <c r="AP36" s="141"/>
      <c r="AQ36" s="141"/>
      <c r="AR36" s="141"/>
      <c r="AS36" s="141"/>
      <c r="AT36" s="141"/>
      <c r="AU36" s="141"/>
      <c r="AY36" s="141"/>
      <c r="BI36" s="142"/>
    </row>
    <row r="37" spans="5:61" x14ac:dyDescent="0.25">
      <c r="E37" s="123"/>
      <c r="O37" s="141"/>
      <c r="P37" s="141"/>
      <c r="R37" s="142"/>
      <c r="Y37" s="141"/>
      <c r="AA37" s="141"/>
      <c r="AC37" s="141"/>
      <c r="AO37" s="141"/>
      <c r="AP37" s="141"/>
      <c r="AQ37" s="141"/>
      <c r="AR37" s="141"/>
      <c r="AS37" s="141"/>
      <c r="AT37" s="141"/>
      <c r="AU37" s="141"/>
      <c r="AY37" s="141"/>
      <c r="BI37" s="142"/>
    </row>
    <row r="38" spans="5:61" x14ac:dyDescent="0.25">
      <c r="E38" s="123"/>
      <c r="O38" s="141"/>
      <c r="P38" s="141"/>
      <c r="R38" s="142"/>
      <c r="Y38" s="141"/>
      <c r="AA38" s="141"/>
      <c r="AC38" s="141"/>
      <c r="AO38" s="141"/>
      <c r="AP38" s="141"/>
      <c r="AQ38" s="141"/>
      <c r="AR38" s="141"/>
      <c r="AS38" s="141"/>
      <c r="AT38" s="141"/>
      <c r="AU38" s="141"/>
      <c r="AY38" s="141"/>
      <c r="BI38" s="142"/>
    </row>
    <row r="39" spans="5:61" x14ac:dyDescent="0.25">
      <c r="E39" s="123"/>
      <c r="O39" s="141"/>
      <c r="P39" s="141"/>
      <c r="R39" s="142"/>
      <c r="Y39" s="141"/>
      <c r="AA39" s="141"/>
      <c r="AC39" s="141"/>
      <c r="AO39" s="141"/>
      <c r="AP39" s="141"/>
      <c r="AQ39" s="141"/>
      <c r="AR39" s="141"/>
      <c r="AS39" s="141"/>
      <c r="AT39" s="141"/>
      <c r="AU39" s="141"/>
      <c r="AX39" s="141"/>
      <c r="AY39" s="141"/>
      <c r="BI39" s="142"/>
    </row>
    <row r="40" spans="5:61" x14ac:dyDescent="0.25">
      <c r="E40" s="123"/>
      <c r="O40" s="141"/>
      <c r="P40" s="141"/>
      <c r="R40" s="142"/>
      <c r="Y40" s="141"/>
      <c r="AA40" s="141"/>
      <c r="AC40" s="141"/>
      <c r="AO40" s="141"/>
      <c r="AP40" s="141"/>
      <c r="AQ40" s="141"/>
      <c r="AR40" s="141"/>
      <c r="AS40" s="141"/>
      <c r="AT40" s="141"/>
      <c r="AU40" s="141"/>
      <c r="AY40" s="141"/>
      <c r="BI40" s="142"/>
    </row>
    <row r="41" spans="5:61" x14ac:dyDescent="0.25">
      <c r="E41" s="123"/>
      <c r="O41" s="141"/>
      <c r="P41" s="141"/>
      <c r="R41" s="142"/>
      <c r="Y41" s="141"/>
      <c r="AA41" s="141"/>
      <c r="AC41" s="141"/>
      <c r="AO41" s="141"/>
      <c r="AP41" s="141"/>
      <c r="AQ41" s="141"/>
      <c r="AR41" s="141"/>
      <c r="AS41" s="141"/>
      <c r="AT41" s="141"/>
      <c r="AU41" s="141"/>
      <c r="AY41" s="141"/>
      <c r="BI41" s="142"/>
    </row>
    <row r="42" spans="5:61" x14ac:dyDescent="0.25">
      <c r="E42" s="123"/>
      <c r="O42" s="141"/>
      <c r="P42" s="141"/>
      <c r="R42" s="142"/>
      <c r="Y42" s="141"/>
      <c r="AA42" s="141"/>
      <c r="AC42" s="141"/>
      <c r="AO42" s="141"/>
      <c r="AP42" s="141"/>
      <c r="AQ42" s="141"/>
      <c r="AR42" s="141"/>
      <c r="AS42" s="141"/>
      <c r="AT42" s="141"/>
      <c r="AU42" s="141"/>
      <c r="AX42" s="141"/>
      <c r="AY42" s="141"/>
      <c r="BI42" s="142"/>
    </row>
    <row r="43" spans="5:61" x14ac:dyDescent="0.25">
      <c r="E43" s="123"/>
      <c r="O43" s="141"/>
      <c r="P43" s="141"/>
      <c r="R43" s="142"/>
      <c r="Y43" s="141"/>
      <c r="AA43" s="141"/>
      <c r="AC43" s="141"/>
      <c r="AO43" s="141"/>
      <c r="AP43" s="141"/>
      <c r="AQ43" s="141"/>
      <c r="AR43" s="141"/>
      <c r="AS43" s="141"/>
      <c r="AT43" s="141"/>
      <c r="AU43" s="141"/>
      <c r="AY43" s="141"/>
      <c r="BI43" s="142"/>
    </row>
    <row r="44" spans="5:61" x14ac:dyDescent="0.25">
      <c r="E44" s="123"/>
      <c r="O44" s="141"/>
      <c r="P44" s="141"/>
      <c r="R44" s="142"/>
      <c r="Y44" s="141"/>
      <c r="AA44" s="141"/>
      <c r="AC44" s="141"/>
      <c r="AO44" s="141"/>
      <c r="AP44" s="141"/>
      <c r="AQ44" s="141"/>
      <c r="AR44" s="141"/>
      <c r="AS44" s="141"/>
      <c r="AT44" s="141"/>
      <c r="AU44" s="141"/>
      <c r="AY44" s="141"/>
      <c r="BI44" s="142"/>
    </row>
    <row r="45" spans="5:61" x14ac:dyDescent="0.25">
      <c r="E45" s="123"/>
      <c r="O45" s="141"/>
      <c r="P45" s="141"/>
      <c r="R45" s="142"/>
      <c r="Y45" s="141"/>
      <c r="AA45" s="141"/>
      <c r="AC45" s="141"/>
      <c r="AO45" s="141"/>
      <c r="AP45" s="141"/>
      <c r="AQ45" s="141"/>
      <c r="AR45" s="141"/>
      <c r="AS45" s="141"/>
      <c r="AT45" s="141"/>
      <c r="AU45" s="141"/>
      <c r="AX45" s="141"/>
      <c r="AY45" s="141"/>
      <c r="BI45" s="142"/>
    </row>
    <row r="46" spans="5:61" x14ac:dyDescent="0.25">
      <c r="E46" s="123"/>
      <c r="O46" s="141"/>
      <c r="P46" s="141"/>
      <c r="R46" s="142"/>
      <c r="Y46" s="141"/>
      <c r="AA46" s="141"/>
      <c r="AC46" s="141"/>
      <c r="AO46" s="141"/>
      <c r="AP46" s="141"/>
      <c r="AQ46" s="141"/>
      <c r="AR46" s="141"/>
      <c r="AS46" s="141"/>
      <c r="AT46" s="141"/>
      <c r="AU46" s="141"/>
      <c r="AY46" s="141"/>
      <c r="BI46" s="142"/>
    </row>
    <row r="47" spans="5:61" x14ac:dyDescent="0.25">
      <c r="E47" s="123"/>
      <c r="O47" s="141"/>
      <c r="P47" s="141"/>
      <c r="R47" s="142"/>
      <c r="Y47" s="141"/>
      <c r="AA47" s="141"/>
      <c r="AC47" s="141"/>
      <c r="AO47" s="141"/>
      <c r="AP47" s="141"/>
      <c r="AQ47" s="141"/>
      <c r="AR47" s="141"/>
      <c r="AS47" s="141"/>
      <c r="AT47" s="141"/>
      <c r="AU47" s="141"/>
      <c r="AY47" s="141"/>
      <c r="BC47" s="141"/>
      <c r="BI47" s="142"/>
    </row>
    <row r="48" spans="5:61" x14ac:dyDescent="0.25">
      <c r="E48" s="123"/>
      <c r="O48" s="141"/>
      <c r="P48" s="141"/>
      <c r="R48" s="142"/>
      <c r="Y48" s="141"/>
      <c r="AA48" s="141"/>
      <c r="AC48" s="141"/>
      <c r="AO48" s="141"/>
      <c r="AP48" s="141"/>
      <c r="AQ48" s="141"/>
      <c r="AR48" s="141"/>
      <c r="AS48" s="141"/>
      <c r="AT48" s="141"/>
      <c r="AU48" s="141"/>
      <c r="AY48" s="141"/>
      <c r="BI48" s="142"/>
    </row>
    <row r="49" spans="5:63" x14ac:dyDescent="0.25">
      <c r="E49" s="123"/>
      <c r="O49" s="141"/>
      <c r="P49" s="141"/>
      <c r="R49" s="142"/>
      <c r="Y49" s="141"/>
      <c r="AA49" s="141"/>
      <c r="AC49" s="141"/>
      <c r="AO49" s="141"/>
      <c r="AP49" s="141"/>
      <c r="AQ49" s="141"/>
      <c r="AR49" s="141"/>
      <c r="AS49" s="141"/>
      <c r="AT49" s="141"/>
      <c r="AU49" s="141"/>
      <c r="AY49" s="141"/>
      <c r="BI49" s="142"/>
    </row>
    <row r="50" spans="5:63" x14ac:dyDescent="0.25">
      <c r="E50" s="123"/>
      <c r="O50" s="141"/>
      <c r="P50" s="141"/>
      <c r="R50" s="142"/>
      <c r="Y50" s="141"/>
      <c r="AA50" s="141"/>
      <c r="AO50" s="141"/>
      <c r="AP50" s="141"/>
      <c r="AQ50" s="141"/>
      <c r="AR50" s="141"/>
      <c r="AS50" s="141"/>
      <c r="AT50" s="141"/>
      <c r="AU50" s="141"/>
      <c r="AY50" s="141"/>
      <c r="BI50" s="142"/>
    </row>
    <row r="51" spans="5:63" x14ac:dyDescent="0.25">
      <c r="E51" s="123"/>
      <c r="O51" s="141"/>
      <c r="P51" s="141"/>
      <c r="R51" s="142"/>
      <c r="Y51" s="141"/>
      <c r="AA51" s="141"/>
      <c r="AC51" s="141"/>
      <c r="AO51" s="141"/>
      <c r="AP51" s="141"/>
      <c r="AQ51" s="141"/>
      <c r="AR51" s="141"/>
      <c r="AS51" s="141"/>
      <c r="AT51" s="141"/>
      <c r="AU51" s="141"/>
      <c r="AX51" s="141"/>
      <c r="AY51" s="141"/>
      <c r="BC51" s="141"/>
      <c r="BI51" s="142"/>
      <c r="BK51" s="202"/>
    </row>
    <row r="52" spans="5:63" x14ac:dyDescent="0.25">
      <c r="E52" s="123"/>
      <c r="O52" s="141"/>
      <c r="P52" s="141"/>
      <c r="R52" s="142"/>
      <c r="Y52" s="141"/>
      <c r="AA52" s="141"/>
      <c r="AC52" s="141"/>
      <c r="AO52" s="141"/>
      <c r="AP52" s="141"/>
      <c r="AQ52" s="141"/>
      <c r="AR52" s="141"/>
      <c r="AS52" s="141"/>
      <c r="AT52" s="141"/>
      <c r="AU52" s="141"/>
      <c r="AY52" s="141"/>
      <c r="BI52" s="142"/>
    </row>
    <row r="53" spans="5:63" x14ac:dyDescent="0.25">
      <c r="E53" s="123"/>
      <c r="O53" s="141"/>
      <c r="P53" s="141"/>
      <c r="R53" s="142"/>
      <c r="Y53" s="141"/>
      <c r="AO53" s="141"/>
      <c r="AP53" s="141"/>
      <c r="AQ53" s="141"/>
      <c r="AR53" s="141"/>
      <c r="AS53" s="141"/>
      <c r="AT53" s="141"/>
      <c r="AU53" s="141"/>
      <c r="AY53" s="141"/>
      <c r="BI53" s="142"/>
    </row>
    <row r="54" spans="5:63" x14ac:dyDescent="0.25">
      <c r="E54" s="123"/>
      <c r="O54" s="141"/>
      <c r="P54" s="141"/>
      <c r="R54" s="142"/>
      <c r="Y54" s="141"/>
      <c r="AA54" s="141"/>
      <c r="AC54" s="141"/>
      <c r="AO54" s="141"/>
      <c r="AP54" s="141"/>
      <c r="AQ54" s="141"/>
      <c r="AR54" s="141"/>
      <c r="AS54" s="141"/>
      <c r="AT54" s="141"/>
      <c r="AU54" s="141"/>
      <c r="AX54" s="141"/>
      <c r="AY54" s="141"/>
      <c r="BI54" s="142"/>
    </row>
    <row r="55" spans="5:63" x14ac:dyDescent="0.25">
      <c r="E55" s="123"/>
      <c r="O55" s="141"/>
      <c r="P55" s="141"/>
      <c r="R55" s="142"/>
      <c r="Y55" s="141"/>
      <c r="AA55" s="141"/>
      <c r="AC55" s="141"/>
      <c r="AO55" s="141"/>
      <c r="AP55" s="141"/>
      <c r="AQ55" s="141"/>
      <c r="AR55" s="141"/>
      <c r="AS55" s="141"/>
      <c r="AT55" s="141"/>
      <c r="AU55" s="141"/>
      <c r="AY55" s="141"/>
      <c r="BI55" s="142"/>
    </row>
    <row r="56" spans="5:63" x14ac:dyDescent="0.25">
      <c r="E56" s="123"/>
      <c r="O56" s="141"/>
      <c r="P56" s="141"/>
      <c r="R56" s="142"/>
      <c r="Y56" s="141"/>
      <c r="AA56" s="141"/>
      <c r="AC56" s="141"/>
      <c r="AO56" s="141"/>
      <c r="AP56" s="141"/>
      <c r="AQ56" s="141"/>
      <c r="AR56" s="141"/>
      <c r="AS56" s="141"/>
      <c r="AT56" s="141"/>
      <c r="AU56" s="141"/>
      <c r="AY56" s="141"/>
      <c r="BC56" s="141"/>
      <c r="BI56" s="142"/>
    </row>
    <row r="57" spans="5:63" x14ac:dyDescent="0.25">
      <c r="E57" s="123"/>
      <c r="O57" s="141"/>
      <c r="P57" s="141"/>
      <c r="R57" s="142"/>
      <c r="Y57" s="141"/>
      <c r="AA57" s="141"/>
      <c r="AC57" s="141"/>
      <c r="AO57" s="141"/>
      <c r="AP57" s="141"/>
      <c r="AQ57" s="141"/>
      <c r="AR57" s="141"/>
      <c r="AS57" s="141"/>
      <c r="AT57" s="141"/>
      <c r="AU57" s="141"/>
      <c r="AY57" s="141"/>
      <c r="BI57" s="142"/>
    </row>
    <row r="58" spans="5:63" x14ac:dyDescent="0.25">
      <c r="E58" s="123"/>
      <c r="O58" s="141"/>
      <c r="P58" s="141"/>
      <c r="R58" s="142"/>
      <c r="Y58" s="141"/>
      <c r="AA58" s="141"/>
      <c r="AC58" s="141"/>
      <c r="AO58" s="141"/>
      <c r="AP58" s="141"/>
      <c r="AQ58" s="141"/>
      <c r="AR58" s="141"/>
      <c r="AS58" s="141"/>
      <c r="AT58" s="141"/>
      <c r="AU58" s="141"/>
      <c r="AY58" s="141"/>
      <c r="BI58" s="142"/>
    </row>
    <row r="59" spans="5:63" x14ac:dyDescent="0.25">
      <c r="E59" s="123"/>
      <c r="O59" s="141"/>
      <c r="P59" s="141"/>
      <c r="R59" s="142"/>
      <c r="Y59" s="141"/>
      <c r="AA59" s="141"/>
      <c r="AC59" s="141"/>
      <c r="AO59" s="141"/>
      <c r="AP59" s="141"/>
      <c r="AQ59" s="141"/>
      <c r="AR59" s="141"/>
      <c r="AS59" s="141"/>
      <c r="AT59" s="141"/>
      <c r="AU59" s="141"/>
      <c r="AY59" s="141"/>
      <c r="BI59" s="142"/>
    </row>
    <row r="60" spans="5:63" x14ac:dyDescent="0.25">
      <c r="E60" s="123"/>
      <c r="O60" s="141"/>
      <c r="P60" s="141"/>
      <c r="R60" s="142"/>
      <c r="Y60" s="141"/>
      <c r="AA60" s="141"/>
      <c r="AC60" s="141"/>
      <c r="AO60" s="141"/>
      <c r="AP60" s="141"/>
      <c r="AQ60" s="141"/>
      <c r="AR60" s="141"/>
      <c r="AS60" s="141"/>
      <c r="AT60" s="141"/>
      <c r="AU60" s="141"/>
      <c r="AX60" s="141"/>
      <c r="AY60" s="141"/>
      <c r="BI60" s="142"/>
    </row>
    <row r="61" spans="5:63" x14ac:dyDescent="0.25">
      <c r="E61" s="123"/>
      <c r="O61" s="141"/>
      <c r="P61" s="141"/>
      <c r="R61" s="142"/>
      <c r="Y61" s="141"/>
      <c r="AA61" s="141"/>
      <c r="AC61" s="141"/>
      <c r="AO61" s="141"/>
      <c r="AP61" s="141"/>
      <c r="AQ61" s="141"/>
      <c r="AR61" s="141"/>
      <c r="AS61" s="141"/>
      <c r="AT61" s="141"/>
      <c r="AU61" s="141"/>
      <c r="AX61" s="141"/>
      <c r="AY61" s="141"/>
      <c r="BI61" s="142"/>
    </row>
    <row r="62" spans="5:63" x14ac:dyDescent="0.25">
      <c r="E62" s="123"/>
      <c r="O62" s="141"/>
      <c r="P62" s="141"/>
      <c r="R62" s="142"/>
      <c r="Y62" s="141"/>
      <c r="AA62" s="141"/>
      <c r="AC62" s="141"/>
      <c r="AO62" s="141"/>
      <c r="AP62" s="141"/>
      <c r="AQ62" s="141"/>
      <c r="AR62" s="141"/>
      <c r="AS62" s="141"/>
      <c r="AT62" s="141"/>
      <c r="AU62" s="141"/>
      <c r="AX62" s="141"/>
      <c r="AY62" s="141"/>
      <c r="BC62" s="141"/>
      <c r="BI62" s="142"/>
    </row>
    <row r="63" spans="5:63" x14ac:dyDescent="0.25">
      <c r="E63" s="123"/>
      <c r="O63" s="141"/>
      <c r="P63" s="141"/>
      <c r="R63" s="142"/>
      <c r="Y63" s="141"/>
      <c r="AA63" s="141"/>
      <c r="AC63" s="141"/>
      <c r="AO63" s="141"/>
      <c r="AP63" s="141"/>
      <c r="AQ63" s="141"/>
      <c r="AR63" s="141"/>
      <c r="AS63" s="141"/>
      <c r="AT63" s="141"/>
      <c r="AU63" s="141"/>
      <c r="AX63" s="141"/>
      <c r="AY63" s="141"/>
      <c r="BI63" s="142"/>
    </row>
    <row r="64" spans="5:63" x14ac:dyDescent="0.25">
      <c r="E64" s="123"/>
      <c r="O64" s="141"/>
      <c r="P64" s="141"/>
      <c r="R64" s="142"/>
      <c r="Y64" s="141"/>
      <c r="AA64" s="141"/>
      <c r="AC64" s="141"/>
      <c r="AO64" s="141"/>
      <c r="AP64" s="141"/>
      <c r="AQ64" s="141"/>
      <c r="AR64" s="141"/>
      <c r="AS64" s="141"/>
      <c r="AT64" s="141"/>
      <c r="AU64" s="141"/>
      <c r="AY64" s="141"/>
      <c r="BI64" s="142"/>
    </row>
    <row r="65" spans="5:61" x14ac:dyDescent="0.25">
      <c r="E65" s="123"/>
      <c r="O65" s="141"/>
      <c r="P65" s="141"/>
      <c r="R65" s="142"/>
      <c r="Y65" s="141"/>
      <c r="AA65" s="141"/>
      <c r="AC65" s="141"/>
      <c r="AO65" s="141"/>
      <c r="AP65" s="141"/>
      <c r="AQ65" s="141"/>
      <c r="AR65" s="141"/>
      <c r="AS65" s="141"/>
      <c r="AT65" s="141"/>
      <c r="AU65" s="141"/>
      <c r="AY65" s="141"/>
      <c r="BI65" s="142"/>
    </row>
    <row r="66" spans="5:61" x14ac:dyDescent="0.25">
      <c r="E66" s="123"/>
      <c r="O66" s="141"/>
      <c r="P66" s="141"/>
      <c r="R66" s="142"/>
      <c r="AO66" s="141"/>
      <c r="AP66" s="141"/>
      <c r="AQ66" s="141"/>
      <c r="AR66" s="141"/>
      <c r="AS66" s="141"/>
      <c r="AT66" s="141"/>
      <c r="AU66" s="141"/>
      <c r="AY66" s="141"/>
      <c r="BI66" s="142"/>
    </row>
    <row r="67" spans="5:61" x14ac:dyDescent="0.25">
      <c r="E67" s="123"/>
      <c r="O67" s="141"/>
      <c r="P67" s="141"/>
      <c r="R67" s="142"/>
      <c r="Y67" s="141"/>
      <c r="AA67" s="141"/>
      <c r="AC67" s="141"/>
      <c r="AO67" s="141"/>
      <c r="AP67" s="141"/>
      <c r="AQ67" s="141"/>
      <c r="AR67" s="141"/>
      <c r="AS67" s="141"/>
      <c r="AT67" s="141"/>
      <c r="AU67" s="141"/>
      <c r="AY67" s="141"/>
      <c r="BI67" s="142"/>
    </row>
    <row r="68" spans="5:61" x14ac:dyDescent="0.25">
      <c r="E68" s="123"/>
      <c r="R68" s="142"/>
      <c r="Y68" s="141"/>
      <c r="AA68" s="141"/>
      <c r="AC68" s="141"/>
      <c r="AO68" s="141"/>
      <c r="AP68" s="141"/>
      <c r="AQ68" s="141"/>
      <c r="AR68" s="141"/>
      <c r="AS68" s="141"/>
      <c r="AT68" s="141"/>
      <c r="AU68" s="141"/>
      <c r="AX68" s="141"/>
      <c r="AY68" s="141"/>
      <c r="BI68" s="142"/>
    </row>
    <row r="69" spans="5:61" x14ac:dyDescent="0.25">
      <c r="E69" s="123"/>
      <c r="O69" s="141"/>
      <c r="P69" s="141"/>
      <c r="R69" s="142"/>
      <c r="Y69" s="141"/>
      <c r="AA69" s="141"/>
      <c r="AC69" s="141"/>
      <c r="AO69" s="141"/>
      <c r="AP69" s="141"/>
      <c r="AQ69" s="141"/>
      <c r="AR69" s="141"/>
      <c r="AS69" s="141"/>
      <c r="AT69" s="141"/>
      <c r="AU69" s="141"/>
      <c r="AY69" s="141"/>
      <c r="BI69" s="142"/>
    </row>
    <row r="70" spans="5:61" x14ac:dyDescent="0.25">
      <c r="E70" s="123"/>
      <c r="O70" s="141"/>
      <c r="P70" s="141"/>
      <c r="R70" s="142"/>
      <c r="Y70" s="141"/>
      <c r="AA70" s="141"/>
      <c r="AO70" s="141"/>
      <c r="AP70" s="141"/>
      <c r="AQ70" s="141"/>
      <c r="AR70" s="141"/>
      <c r="AS70" s="141"/>
      <c r="AT70" s="141"/>
      <c r="AU70" s="141"/>
      <c r="AY70" s="141"/>
      <c r="BI70" s="142"/>
    </row>
    <row r="71" spans="5:61" x14ac:dyDescent="0.25">
      <c r="E71" s="123"/>
      <c r="O71" s="141"/>
      <c r="P71" s="141"/>
      <c r="R71" s="142"/>
      <c r="Y71" s="141"/>
      <c r="AA71" s="141"/>
      <c r="AC71" s="141"/>
      <c r="AO71" s="141"/>
      <c r="AP71" s="141"/>
      <c r="AQ71" s="141"/>
      <c r="AR71" s="141"/>
      <c r="AS71" s="141"/>
      <c r="AT71" s="141"/>
      <c r="AU71" s="141"/>
      <c r="AY71" s="141"/>
      <c r="BC71" s="141"/>
      <c r="BI71" s="142"/>
    </row>
    <row r="72" spans="5:61" x14ac:dyDescent="0.25">
      <c r="E72" s="123"/>
      <c r="O72" s="141"/>
      <c r="P72" s="141"/>
      <c r="R72" s="142"/>
      <c r="Y72" s="141"/>
      <c r="AA72" s="141"/>
      <c r="AC72" s="141"/>
      <c r="AO72" s="141"/>
      <c r="AP72" s="141"/>
      <c r="AQ72" s="141"/>
      <c r="AR72" s="141"/>
      <c r="AS72" s="141"/>
      <c r="AT72" s="141"/>
      <c r="AU72" s="141"/>
      <c r="AX72" s="141"/>
      <c r="AY72" s="141"/>
      <c r="BI72" s="142"/>
    </row>
    <row r="73" spans="5:61" x14ac:dyDescent="0.25">
      <c r="E73" s="123"/>
      <c r="O73" s="141"/>
      <c r="P73" s="141"/>
      <c r="R73" s="142"/>
      <c r="Y73" s="141"/>
      <c r="AA73" s="141"/>
      <c r="AC73" s="141"/>
      <c r="AO73" s="141"/>
      <c r="AP73" s="141"/>
      <c r="AQ73" s="141"/>
      <c r="AR73" s="141"/>
      <c r="AS73" s="141"/>
      <c r="AT73" s="141"/>
      <c r="AU73" s="141"/>
      <c r="AY73" s="141"/>
      <c r="BC73" s="141"/>
      <c r="BI73" s="142"/>
    </row>
    <row r="74" spans="5:61" x14ac:dyDescent="0.25">
      <c r="E74" s="123"/>
      <c r="O74" s="141"/>
      <c r="P74" s="141"/>
      <c r="R74" s="142"/>
      <c r="AO74" s="141"/>
      <c r="AP74" s="141"/>
      <c r="AQ74" s="141"/>
      <c r="AR74" s="141"/>
      <c r="AS74" s="141"/>
      <c r="AT74" s="141"/>
      <c r="AU74" s="141"/>
      <c r="AY74" s="141"/>
      <c r="BI74" s="142"/>
    </row>
    <row r="75" spans="5:61" x14ac:dyDescent="0.25">
      <c r="E75" s="123"/>
      <c r="O75" s="141"/>
      <c r="P75" s="141"/>
      <c r="R75" s="142"/>
      <c r="Y75" s="141"/>
      <c r="AA75" s="141"/>
      <c r="AC75" s="141"/>
      <c r="AO75" s="141"/>
      <c r="AP75" s="141"/>
      <c r="AQ75" s="141"/>
      <c r="AR75" s="141"/>
      <c r="AS75" s="141"/>
      <c r="AT75" s="141"/>
      <c r="AU75" s="141"/>
      <c r="AY75" s="141"/>
      <c r="BC75" s="141"/>
      <c r="BI75" s="142"/>
    </row>
    <row r="76" spans="5:61" x14ac:dyDescent="0.25">
      <c r="E76" s="123"/>
      <c r="R76" s="142"/>
      <c r="Y76" s="141"/>
      <c r="AA76" s="141"/>
      <c r="AC76" s="141"/>
      <c r="AO76" s="141"/>
      <c r="AP76" s="141"/>
      <c r="AQ76" s="141"/>
      <c r="AR76" s="141"/>
      <c r="AS76" s="141"/>
      <c r="AT76" s="141"/>
      <c r="AU76" s="141"/>
      <c r="AX76" s="141"/>
      <c r="AY76" s="141"/>
      <c r="BI76" s="142"/>
    </row>
    <row r="77" spans="5:61" x14ac:dyDescent="0.25">
      <c r="E77" s="123"/>
      <c r="R77" s="142"/>
      <c r="Y77" s="141"/>
      <c r="AA77" s="141"/>
      <c r="AC77" s="141"/>
      <c r="AO77" s="141"/>
      <c r="AP77" s="141"/>
      <c r="AQ77" s="141"/>
      <c r="AR77" s="141"/>
      <c r="AS77" s="141"/>
      <c r="AT77" s="141"/>
      <c r="AU77" s="141"/>
      <c r="AY77" s="141"/>
      <c r="BI77" s="142"/>
    </row>
    <row r="78" spans="5:61" x14ac:dyDescent="0.25">
      <c r="E78" s="123"/>
      <c r="O78" s="141"/>
      <c r="P78" s="141"/>
      <c r="R78" s="142"/>
      <c r="Y78" s="141"/>
      <c r="AA78" s="141"/>
      <c r="AC78" s="141"/>
      <c r="AO78" s="141"/>
      <c r="AP78" s="141"/>
      <c r="AQ78" s="141"/>
      <c r="AR78" s="141"/>
      <c r="AS78" s="141"/>
      <c r="AT78" s="141"/>
      <c r="AU78" s="141"/>
      <c r="AY78" s="141"/>
      <c r="BC78" s="141"/>
      <c r="BI78" s="142"/>
    </row>
    <row r="79" spans="5:61" x14ac:dyDescent="0.25">
      <c r="E79" s="123"/>
      <c r="O79" s="141"/>
      <c r="P79" s="141"/>
      <c r="R79" s="142"/>
      <c r="Y79" s="141"/>
      <c r="AA79" s="141"/>
      <c r="AC79" s="141"/>
      <c r="AO79" s="141"/>
      <c r="AP79" s="141"/>
      <c r="AQ79" s="141"/>
      <c r="AR79" s="141"/>
      <c r="AS79" s="141"/>
      <c r="AT79" s="141"/>
      <c r="AU79" s="141"/>
      <c r="AY79" s="141"/>
      <c r="BC79" s="141"/>
      <c r="BI79" s="142"/>
    </row>
    <row r="80" spans="5:61" x14ac:dyDescent="0.25">
      <c r="E80" s="123"/>
      <c r="O80" s="141"/>
      <c r="P80" s="141"/>
      <c r="R80" s="142"/>
      <c r="Y80" s="141"/>
      <c r="AA80" s="141"/>
      <c r="AC80" s="141"/>
      <c r="AO80" s="141"/>
      <c r="AP80" s="141"/>
      <c r="AQ80" s="141"/>
      <c r="AR80" s="141"/>
      <c r="AS80" s="141"/>
      <c r="AT80" s="141"/>
      <c r="AU80" s="141"/>
      <c r="AX80" s="141"/>
      <c r="AY80" s="141"/>
      <c r="BC80" s="141"/>
      <c r="BI80" s="142"/>
    </row>
    <row r="81" spans="5:61" x14ac:dyDescent="0.25">
      <c r="E81" s="123"/>
      <c r="O81" s="141"/>
      <c r="P81" s="141"/>
      <c r="R81" s="142"/>
      <c r="Y81" s="141"/>
      <c r="AA81" s="141"/>
      <c r="AC81" s="141"/>
      <c r="AO81" s="141"/>
      <c r="AP81" s="141"/>
      <c r="AQ81" s="141"/>
      <c r="AR81" s="141"/>
      <c r="AS81" s="141"/>
      <c r="AT81" s="141"/>
      <c r="AU81" s="141"/>
      <c r="AY81" s="141"/>
      <c r="BC81" s="141"/>
      <c r="BI81" s="142"/>
    </row>
    <row r="82" spans="5:61" x14ac:dyDescent="0.25">
      <c r="E82" s="123"/>
      <c r="O82" s="141"/>
      <c r="P82" s="141"/>
      <c r="R82" s="142"/>
      <c r="Y82" s="141"/>
      <c r="AA82" s="141"/>
      <c r="AO82" s="141"/>
      <c r="AP82" s="141"/>
      <c r="AQ82" s="141"/>
      <c r="AR82" s="141"/>
      <c r="AS82" s="141"/>
      <c r="AT82" s="141"/>
      <c r="AU82" s="141"/>
      <c r="AX82" s="141"/>
      <c r="AY82" s="141"/>
      <c r="BI82" s="142"/>
    </row>
    <row r="83" spans="5:61" x14ac:dyDescent="0.25">
      <c r="E83" s="123"/>
      <c r="O83" s="141"/>
      <c r="P83" s="141"/>
      <c r="R83" s="142"/>
      <c r="Y83" s="141"/>
      <c r="AA83" s="141"/>
      <c r="AC83" s="141"/>
      <c r="AO83" s="141"/>
      <c r="AP83" s="141"/>
      <c r="AQ83" s="141"/>
      <c r="AR83" s="141"/>
      <c r="AS83" s="141"/>
      <c r="AT83" s="141"/>
      <c r="AU83" s="141"/>
      <c r="AX83" s="141"/>
      <c r="AY83" s="141"/>
      <c r="BI83" s="142"/>
    </row>
    <row r="84" spans="5:61" x14ac:dyDescent="0.25">
      <c r="E84" s="123"/>
      <c r="O84" s="141"/>
      <c r="P84" s="141"/>
      <c r="R84" s="142"/>
      <c r="Y84" s="141"/>
      <c r="AO84" s="141"/>
      <c r="AP84" s="141"/>
      <c r="AQ84" s="141"/>
      <c r="AR84" s="141"/>
      <c r="AS84" s="141"/>
      <c r="AT84" s="141"/>
      <c r="AU84" s="141"/>
      <c r="AX84" s="141"/>
      <c r="AY84" s="141"/>
      <c r="BI84" s="142"/>
    </row>
    <row r="85" spans="5:61" x14ac:dyDescent="0.25">
      <c r="E85" s="123"/>
      <c r="O85" s="141"/>
      <c r="P85" s="141"/>
      <c r="R85" s="142"/>
      <c r="Y85" s="141"/>
      <c r="AA85" s="141"/>
      <c r="AC85" s="141"/>
      <c r="AO85" s="141"/>
      <c r="AP85" s="141"/>
      <c r="AQ85" s="141"/>
      <c r="AR85" s="141"/>
      <c r="AS85" s="141"/>
      <c r="AT85" s="141"/>
      <c r="AU85" s="141"/>
      <c r="AX85" s="141"/>
      <c r="AY85" s="141"/>
      <c r="BC85" s="141"/>
      <c r="BI85" s="142"/>
    </row>
    <row r="86" spans="5:61" x14ac:dyDescent="0.25">
      <c r="E86" s="123"/>
      <c r="O86" s="141"/>
      <c r="P86" s="141"/>
      <c r="R86" s="142"/>
      <c r="AO86" s="141"/>
      <c r="AP86" s="141"/>
      <c r="AQ86" s="141"/>
      <c r="AR86" s="141"/>
      <c r="AS86" s="141"/>
      <c r="AT86" s="141"/>
      <c r="AU86" s="141"/>
      <c r="AY86" s="141"/>
      <c r="BI86" s="142"/>
    </row>
    <row r="87" spans="5:61" x14ac:dyDescent="0.25">
      <c r="E87" s="123"/>
      <c r="O87" s="141"/>
      <c r="P87" s="141"/>
      <c r="R87" s="142"/>
      <c r="Y87" s="141"/>
      <c r="AA87" s="141"/>
      <c r="AO87" s="141"/>
      <c r="AP87" s="141"/>
      <c r="AQ87" s="141"/>
      <c r="AR87" s="141"/>
      <c r="AS87" s="141"/>
      <c r="AT87" s="141"/>
      <c r="AU87" s="141"/>
      <c r="AY87" s="141"/>
      <c r="BI87" s="142"/>
    </row>
    <row r="88" spans="5:61" x14ac:dyDescent="0.25">
      <c r="E88" s="123"/>
      <c r="O88" s="141"/>
      <c r="P88" s="141"/>
      <c r="R88" s="142"/>
      <c r="Y88" s="141"/>
      <c r="AA88" s="141"/>
      <c r="AC88" s="141"/>
      <c r="AO88" s="141"/>
      <c r="AP88" s="141"/>
      <c r="AQ88" s="141"/>
      <c r="AR88" s="141"/>
      <c r="AS88" s="141"/>
      <c r="AT88" s="141"/>
      <c r="AU88" s="141"/>
      <c r="AY88" s="141"/>
      <c r="BI88" s="142"/>
    </row>
    <row r="89" spans="5:61" x14ac:dyDescent="0.25">
      <c r="E89" s="123"/>
      <c r="O89" s="141"/>
      <c r="P89" s="141"/>
      <c r="R89" s="142"/>
      <c r="Y89" s="141"/>
      <c r="AA89" s="141"/>
      <c r="AC89" s="141"/>
      <c r="AO89" s="141"/>
      <c r="AP89" s="141"/>
      <c r="AQ89" s="141"/>
      <c r="AR89" s="141"/>
      <c r="AS89" s="141"/>
      <c r="AT89" s="141"/>
      <c r="AU89" s="141"/>
      <c r="AY89" s="141"/>
      <c r="BI89" s="142"/>
    </row>
    <row r="90" spans="5:61" x14ac:dyDescent="0.25">
      <c r="E90" s="123"/>
      <c r="O90" s="141"/>
      <c r="P90" s="141"/>
      <c r="R90" s="142"/>
      <c r="Y90" s="141"/>
      <c r="AA90" s="141"/>
      <c r="AC90" s="141"/>
      <c r="AO90" s="141"/>
      <c r="AP90" s="141"/>
      <c r="AQ90" s="141"/>
      <c r="AR90" s="141"/>
      <c r="AS90" s="141"/>
      <c r="AT90" s="141"/>
      <c r="AU90" s="141"/>
      <c r="AY90" s="141"/>
      <c r="BI90" s="142"/>
    </row>
    <row r="91" spans="5:61" x14ac:dyDescent="0.25">
      <c r="E91" s="123"/>
      <c r="O91" s="141"/>
      <c r="P91" s="141"/>
      <c r="R91" s="142"/>
      <c r="AO91" s="141"/>
      <c r="AP91" s="141"/>
      <c r="AQ91" s="141"/>
      <c r="AR91" s="141"/>
      <c r="AS91" s="141"/>
      <c r="AT91" s="141"/>
      <c r="AU91" s="141"/>
      <c r="AY91" s="141"/>
      <c r="BI91" s="142"/>
    </row>
    <row r="92" spans="5:61" x14ac:dyDescent="0.25">
      <c r="E92" s="123"/>
      <c r="O92" s="141"/>
      <c r="P92" s="141"/>
      <c r="R92" s="142"/>
      <c r="Y92" s="141"/>
      <c r="AA92" s="141"/>
      <c r="AC92" s="141"/>
      <c r="AO92" s="141"/>
      <c r="AP92" s="141"/>
      <c r="AQ92" s="141"/>
      <c r="AR92" s="141"/>
      <c r="AS92" s="141"/>
      <c r="AT92" s="141"/>
      <c r="AU92" s="141"/>
      <c r="AY92" s="141"/>
      <c r="BI92" s="142"/>
    </row>
    <row r="93" spans="5:61" x14ac:dyDescent="0.25">
      <c r="E93" s="123"/>
      <c r="O93" s="141"/>
      <c r="P93" s="141"/>
      <c r="R93" s="142"/>
      <c r="Y93" s="141"/>
      <c r="AO93" s="141"/>
      <c r="AP93" s="141"/>
      <c r="AQ93" s="141"/>
      <c r="AR93" s="141"/>
      <c r="AS93" s="141"/>
      <c r="AT93" s="141"/>
      <c r="AU93" s="141"/>
      <c r="AY93" s="141"/>
      <c r="BC93" s="141"/>
      <c r="BI93" s="142"/>
    </row>
    <row r="94" spans="5:61" x14ac:dyDescent="0.25">
      <c r="E94" s="123"/>
      <c r="O94" s="141"/>
      <c r="P94" s="141"/>
      <c r="R94" s="142"/>
      <c r="Y94" s="141"/>
      <c r="AA94" s="141"/>
      <c r="AC94" s="141"/>
      <c r="AO94" s="141"/>
      <c r="AP94" s="141"/>
      <c r="AQ94" s="141"/>
      <c r="AR94" s="141"/>
      <c r="AS94" s="141"/>
      <c r="AT94" s="141"/>
      <c r="AU94" s="141"/>
      <c r="AY94" s="141"/>
      <c r="BI94" s="142"/>
    </row>
    <row r="95" spans="5:61" x14ac:dyDescent="0.25">
      <c r="E95" s="123"/>
      <c r="R95" s="142"/>
      <c r="Y95" s="141"/>
      <c r="AA95" s="141"/>
      <c r="AC95" s="141"/>
      <c r="AO95" s="141"/>
      <c r="AP95" s="141"/>
      <c r="AQ95" s="141"/>
      <c r="AR95" s="141"/>
      <c r="AS95" s="141"/>
      <c r="AT95" s="141"/>
      <c r="AU95" s="141"/>
      <c r="AY95" s="141"/>
      <c r="BI95" s="142"/>
    </row>
    <row r="96" spans="5:61" x14ac:dyDescent="0.25">
      <c r="E96" s="123"/>
      <c r="O96" s="141"/>
      <c r="P96" s="141"/>
      <c r="R96" s="142"/>
      <c r="Y96" s="141"/>
      <c r="AA96" s="141"/>
      <c r="AC96" s="141"/>
      <c r="AO96" s="141"/>
      <c r="AP96" s="141"/>
      <c r="AQ96" s="141"/>
      <c r="AR96" s="141"/>
      <c r="AS96" s="141"/>
      <c r="AT96" s="141"/>
      <c r="AU96" s="141"/>
      <c r="AY96" s="141"/>
      <c r="BI96" s="142"/>
    </row>
    <row r="97" spans="5:61" x14ac:dyDescent="0.25">
      <c r="E97" s="123"/>
      <c r="O97" s="141"/>
      <c r="P97" s="141"/>
      <c r="R97" s="142"/>
      <c r="Y97" s="141"/>
      <c r="AA97" s="141"/>
      <c r="AC97" s="141"/>
      <c r="AO97" s="141"/>
      <c r="AP97" s="141"/>
      <c r="AQ97" s="141"/>
      <c r="AR97" s="141"/>
      <c r="AS97" s="141"/>
      <c r="AT97" s="141"/>
      <c r="AU97" s="141"/>
      <c r="AY97" s="141"/>
      <c r="BI97" s="142"/>
    </row>
    <row r="98" spans="5:61" x14ac:dyDescent="0.25">
      <c r="E98" s="123"/>
      <c r="O98" s="141"/>
      <c r="P98" s="141"/>
      <c r="R98" s="142"/>
      <c r="Y98" s="141"/>
      <c r="AA98" s="141"/>
      <c r="AC98" s="141"/>
      <c r="AO98" s="141"/>
      <c r="AP98" s="141"/>
      <c r="AQ98" s="141"/>
      <c r="AR98" s="141"/>
      <c r="AS98" s="141"/>
      <c r="AT98" s="141"/>
      <c r="AU98" s="141"/>
      <c r="AY98" s="141"/>
      <c r="BI98" s="142"/>
    </row>
    <row r="99" spans="5:61" x14ac:dyDescent="0.25">
      <c r="E99" s="123"/>
      <c r="R99" s="142"/>
      <c r="Y99" s="141"/>
      <c r="AA99" s="141"/>
      <c r="AC99" s="141"/>
      <c r="AO99" s="141"/>
      <c r="AP99" s="141"/>
      <c r="AQ99" s="141"/>
      <c r="AR99" s="141"/>
      <c r="AS99" s="141"/>
      <c r="AT99" s="141"/>
      <c r="AU99" s="141"/>
      <c r="AY99" s="141"/>
      <c r="BI99" s="142"/>
    </row>
    <row r="100" spans="5:61" x14ac:dyDescent="0.25">
      <c r="E100" s="123"/>
      <c r="R100" s="142"/>
      <c r="Y100" s="141"/>
      <c r="AA100" s="141"/>
      <c r="AC100" s="141"/>
      <c r="AO100" s="141"/>
      <c r="AP100" s="141"/>
      <c r="AQ100" s="141"/>
      <c r="AR100" s="141"/>
      <c r="AS100" s="141"/>
      <c r="AT100" s="141"/>
      <c r="AU100" s="141"/>
      <c r="AY100" s="141"/>
      <c r="BI100" s="142"/>
    </row>
    <row r="101" spans="5:61" x14ac:dyDescent="0.25">
      <c r="E101" s="123"/>
      <c r="O101" s="141"/>
      <c r="P101" s="141"/>
      <c r="R101" s="142"/>
      <c r="Y101" s="141"/>
      <c r="AA101" s="141"/>
      <c r="AO101" s="141"/>
      <c r="AP101" s="141"/>
      <c r="AQ101" s="141"/>
      <c r="AR101" s="141"/>
      <c r="AS101" s="141"/>
      <c r="AT101" s="141"/>
      <c r="AU101" s="141"/>
      <c r="AY101" s="141"/>
      <c r="BI101" s="142"/>
    </row>
    <row r="102" spans="5:61" x14ac:dyDescent="0.25">
      <c r="E102" s="123"/>
      <c r="O102" s="141"/>
      <c r="P102" s="141"/>
      <c r="R102" s="142"/>
      <c r="Y102" s="141"/>
      <c r="AO102" s="141"/>
      <c r="AP102" s="141"/>
      <c r="AQ102" s="141"/>
      <c r="AR102" s="141"/>
      <c r="AS102" s="141"/>
      <c r="AT102" s="141"/>
      <c r="AU102" s="141"/>
      <c r="AY102" s="141"/>
      <c r="BI102" s="142"/>
    </row>
    <row r="103" spans="5:61" x14ac:dyDescent="0.25">
      <c r="E103" s="123"/>
      <c r="O103" s="141"/>
      <c r="P103" s="141"/>
      <c r="R103" s="142"/>
      <c r="Y103" s="141"/>
      <c r="AA103" s="141"/>
      <c r="AO103" s="141"/>
      <c r="AP103" s="141"/>
      <c r="AQ103" s="141"/>
      <c r="AR103" s="141"/>
      <c r="AS103" s="141"/>
      <c r="AT103" s="141"/>
      <c r="AU103" s="141"/>
      <c r="AY103" s="141"/>
      <c r="BI103" s="142"/>
    </row>
    <row r="104" spans="5:61" x14ac:dyDescent="0.25">
      <c r="E104" s="123"/>
      <c r="O104" s="141"/>
      <c r="P104" s="141"/>
      <c r="R104" s="142"/>
      <c r="Y104" s="141"/>
      <c r="AA104" s="141"/>
      <c r="AC104" s="141"/>
      <c r="AO104" s="141"/>
      <c r="AP104" s="141"/>
      <c r="AQ104" s="141"/>
      <c r="AR104" s="141"/>
      <c r="AS104" s="141"/>
      <c r="AT104" s="141"/>
      <c r="AU104" s="141"/>
      <c r="AY104" s="141"/>
      <c r="BI104" s="142"/>
    </row>
    <row r="105" spans="5:61" x14ac:dyDescent="0.25">
      <c r="E105" s="123"/>
      <c r="O105" s="141"/>
      <c r="P105" s="141"/>
      <c r="R105" s="142"/>
      <c r="Y105" s="141"/>
      <c r="AA105" s="141"/>
      <c r="AC105" s="141"/>
      <c r="AO105" s="141"/>
      <c r="AP105" s="141"/>
      <c r="AQ105" s="141"/>
      <c r="AR105" s="141"/>
      <c r="AS105" s="141"/>
      <c r="AT105" s="141"/>
      <c r="AU105" s="141"/>
      <c r="AX105" s="141"/>
      <c r="AY105" s="141"/>
      <c r="BI105" s="142"/>
    </row>
    <row r="106" spans="5:61" x14ac:dyDescent="0.25">
      <c r="E106" s="123"/>
      <c r="O106" s="141"/>
      <c r="P106" s="141"/>
      <c r="R106" s="142"/>
      <c r="Y106" s="141"/>
      <c r="AA106" s="141"/>
      <c r="AC106" s="141"/>
      <c r="AO106" s="141"/>
      <c r="AP106" s="141"/>
      <c r="AQ106" s="141"/>
      <c r="AR106" s="141"/>
      <c r="AS106" s="141"/>
      <c r="AT106" s="141"/>
      <c r="AU106" s="141"/>
      <c r="AY106" s="141"/>
      <c r="BI106" s="142"/>
    </row>
    <row r="107" spans="5:61" x14ac:dyDescent="0.25">
      <c r="E107" s="123"/>
      <c r="O107" s="141"/>
      <c r="P107" s="141"/>
      <c r="R107" s="142"/>
      <c r="Y107" s="141"/>
      <c r="AA107" s="141"/>
      <c r="AC107" s="141"/>
      <c r="AO107" s="141"/>
      <c r="AP107" s="141"/>
      <c r="AQ107" s="141"/>
      <c r="AR107" s="141"/>
      <c r="AS107" s="141"/>
      <c r="AT107" s="141"/>
      <c r="AU107" s="141"/>
      <c r="AX107" s="141"/>
      <c r="AY107" s="141"/>
      <c r="BI107" s="142"/>
    </row>
    <row r="108" spans="5:61" x14ac:dyDescent="0.25">
      <c r="E108" s="123"/>
      <c r="O108" s="141"/>
      <c r="P108" s="141"/>
      <c r="R108" s="142"/>
      <c r="Y108" s="141"/>
      <c r="AA108" s="141"/>
      <c r="AC108" s="141"/>
      <c r="AO108" s="141"/>
      <c r="AP108" s="141"/>
      <c r="AQ108" s="141"/>
      <c r="AR108" s="141"/>
      <c r="AS108" s="141"/>
      <c r="AT108" s="141"/>
      <c r="AU108" s="141"/>
      <c r="AY108" s="141"/>
      <c r="BI108" s="142"/>
    </row>
    <row r="109" spans="5:61" x14ac:dyDescent="0.25">
      <c r="E109" s="123"/>
      <c r="O109" s="141"/>
      <c r="P109" s="141"/>
      <c r="R109" s="142"/>
      <c r="Y109" s="141"/>
      <c r="AA109" s="141"/>
      <c r="AC109" s="141"/>
      <c r="AO109" s="141"/>
      <c r="AP109" s="141"/>
      <c r="AQ109" s="141"/>
      <c r="AR109" s="141"/>
      <c r="AS109" s="141"/>
      <c r="AT109" s="141"/>
      <c r="AU109" s="141"/>
      <c r="AY109" s="141"/>
      <c r="BI109" s="142"/>
    </row>
    <row r="110" spans="5:61" x14ac:dyDescent="0.25">
      <c r="E110" s="123"/>
      <c r="O110" s="141"/>
      <c r="P110" s="141"/>
      <c r="R110" s="142"/>
      <c r="Y110" s="141"/>
      <c r="AA110" s="141"/>
      <c r="AC110" s="141"/>
      <c r="AO110" s="141"/>
      <c r="AP110" s="141"/>
      <c r="AQ110" s="141"/>
      <c r="AR110" s="141"/>
      <c r="AS110" s="141"/>
      <c r="AT110" s="141"/>
      <c r="AU110" s="141"/>
      <c r="AY110" s="141"/>
      <c r="BI110" s="142"/>
    </row>
    <row r="113" s="122" customFormat="1" x14ac:dyDescent="0.25"/>
    <row r="114" s="122" customFormat="1" x14ac:dyDescent="0.25"/>
    <row r="115" s="122" customFormat="1" x14ac:dyDescent="0.25"/>
    <row r="116" s="122" customFormat="1" x14ac:dyDescent="0.25"/>
    <row r="117" s="122" customFormat="1" x14ac:dyDescent="0.25"/>
    <row r="118" s="122" customFormat="1" x14ac:dyDescent="0.25"/>
    <row r="119" s="122" customFormat="1" x14ac:dyDescent="0.25"/>
    <row r="120" s="122" customFormat="1" x14ac:dyDescent="0.25"/>
    <row r="121" s="122" customFormat="1" x14ac:dyDescent="0.25"/>
    <row r="122" s="122" customFormat="1" x14ac:dyDescent="0.25"/>
    <row r="123" s="122" customFormat="1" x14ac:dyDescent="0.25"/>
    <row r="124" s="122" customFormat="1" x14ac:dyDescent="0.25"/>
    <row r="125" s="122" customFormat="1" x14ac:dyDescent="0.25"/>
    <row r="126" s="122" customFormat="1" x14ac:dyDescent="0.25"/>
    <row r="127" s="122" customFormat="1" x14ac:dyDescent="0.25"/>
    <row r="128" s="122" customFormat="1" x14ac:dyDescent="0.25"/>
    <row r="129" s="122" customFormat="1" x14ac:dyDescent="0.25"/>
    <row r="130" s="122" customFormat="1" x14ac:dyDescent="0.25"/>
    <row r="131" s="122" customFormat="1" x14ac:dyDescent="0.25"/>
    <row r="132" s="122" customFormat="1" x14ac:dyDescent="0.25"/>
    <row r="133" s="122" customFormat="1" x14ac:dyDescent="0.25"/>
    <row r="134" s="122" customFormat="1" x14ac:dyDescent="0.25"/>
    <row r="135" s="122" customFormat="1" x14ac:dyDescent="0.25"/>
    <row r="136" s="122" customFormat="1" x14ac:dyDescent="0.25"/>
    <row r="137" s="122" customFormat="1" x14ac:dyDescent="0.25"/>
    <row r="138" s="122" customFormat="1" x14ac:dyDescent="0.25"/>
    <row r="139" s="122" customFormat="1" x14ac:dyDescent="0.25"/>
    <row r="140" s="122" customFormat="1" x14ac:dyDescent="0.25"/>
    <row r="141" s="122" customFormat="1" x14ac:dyDescent="0.25"/>
    <row r="142" s="122" customFormat="1" x14ac:dyDescent="0.25"/>
    <row r="143" s="122" customFormat="1" x14ac:dyDescent="0.25"/>
    <row r="144" s="122" customFormat="1" x14ac:dyDescent="0.25"/>
    <row r="145" s="122" customFormat="1" x14ac:dyDescent="0.25"/>
    <row r="146" s="122" customFormat="1" x14ac:dyDescent="0.25"/>
    <row r="147" s="122" customFormat="1" x14ac:dyDescent="0.25"/>
    <row r="148" s="122" customFormat="1" x14ac:dyDescent="0.25"/>
    <row r="149" s="122" customFormat="1" x14ac:dyDescent="0.25"/>
    <row r="150" s="122" customFormat="1" x14ac:dyDescent="0.25"/>
    <row r="151" s="122" customFormat="1" x14ac:dyDescent="0.25"/>
    <row r="152" s="122" customFormat="1" x14ac:dyDescent="0.25"/>
    <row r="153" s="122" customFormat="1" x14ac:dyDescent="0.25"/>
    <row r="154" s="122" customFormat="1" x14ac:dyDescent="0.25"/>
    <row r="155" s="122" customFormat="1" x14ac:dyDescent="0.25"/>
    <row r="156" s="122" customFormat="1" x14ac:dyDescent="0.25"/>
    <row r="157" s="122" customFormat="1" x14ac:dyDescent="0.25"/>
    <row r="158" s="122" customFormat="1" x14ac:dyDescent="0.25"/>
    <row r="159" s="122" customFormat="1" x14ac:dyDescent="0.25"/>
    <row r="160" s="122" customFormat="1" x14ac:dyDescent="0.25"/>
    <row r="161" s="122" customFormat="1" x14ac:dyDescent="0.25"/>
    <row r="162" s="122" customFormat="1" x14ac:dyDescent="0.25"/>
    <row r="163" s="122" customFormat="1" x14ac:dyDescent="0.25"/>
    <row r="164" s="122" customFormat="1" x14ac:dyDescent="0.25"/>
    <row r="165" s="122" customFormat="1" x14ac:dyDescent="0.25"/>
    <row r="166" s="122" customFormat="1" x14ac:dyDescent="0.25"/>
    <row r="167" s="122" customFormat="1" x14ac:dyDescent="0.25"/>
    <row r="168" s="122" customFormat="1" x14ac:dyDescent="0.25"/>
    <row r="169" s="122" customFormat="1" x14ac:dyDescent="0.25"/>
    <row r="170" s="122" customFormat="1" x14ac:dyDescent="0.25"/>
    <row r="171" s="122" customFormat="1" x14ac:dyDescent="0.25"/>
    <row r="172" s="122" customFormat="1" x14ac:dyDescent="0.25"/>
    <row r="173" s="122" customFormat="1" x14ac:dyDescent="0.25"/>
    <row r="174" s="122" customFormat="1" x14ac:dyDescent="0.25"/>
    <row r="175" s="122" customFormat="1" x14ac:dyDescent="0.25"/>
    <row r="176" s="122" customFormat="1" x14ac:dyDescent="0.25"/>
    <row r="177" s="122" customFormat="1" x14ac:dyDescent="0.25"/>
    <row r="178" s="122" customFormat="1" x14ac:dyDescent="0.25"/>
    <row r="179" s="122" customFormat="1" x14ac:dyDescent="0.25"/>
    <row r="180" s="122" customFormat="1" x14ac:dyDescent="0.25"/>
    <row r="181" s="122" customFormat="1" x14ac:dyDescent="0.25"/>
    <row r="182" s="122" customFormat="1" x14ac:dyDescent="0.25"/>
    <row r="183" s="122" customFormat="1" x14ac:dyDescent="0.25"/>
    <row r="184" s="122" customFormat="1" x14ac:dyDescent="0.25"/>
    <row r="185" s="122" customFormat="1" x14ac:dyDescent="0.25"/>
    <row r="186" s="122" customFormat="1" x14ac:dyDescent="0.25"/>
    <row r="187" s="122" customFormat="1" x14ac:dyDescent="0.25"/>
    <row r="188" s="122" customFormat="1" x14ac:dyDescent="0.25"/>
    <row r="189" s="122" customFormat="1" x14ac:dyDescent="0.25"/>
    <row r="190" s="122" customFormat="1" x14ac:dyDescent="0.25"/>
    <row r="191" s="122" customFormat="1" x14ac:dyDescent="0.25"/>
    <row r="192" s="122" customFormat="1" x14ac:dyDescent="0.25"/>
    <row r="193" s="122" customFormat="1" x14ac:dyDescent="0.25"/>
    <row r="194" s="122" customFormat="1" x14ac:dyDescent="0.25"/>
    <row r="195" s="122" customFormat="1" x14ac:dyDescent="0.25"/>
    <row r="196" s="122" customFormat="1" x14ac:dyDescent="0.25"/>
    <row r="197" s="122" customFormat="1" x14ac:dyDescent="0.25"/>
    <row r="198" s="122" customFormat="1" x14ac:dyDescent="0.25"/>
    <row r="199" s="122" customFormat="1" x14ac:dyDescent="0.25"/>
    <row r="200" s="122" customFormat="1" x14ac:dyDescent="0.25"/>
    <row r="201" s="122" customFormat="1" x14ac:dyDescent="0.25"/>
    <row r="202" s="122" customFormat="1" x14ac:dyDescent="0.25"/>
    <row r="203" s="122" customFormat="1" x14ac:dyDescent="0.25"/>
    <row r="204" s="122" customFormat="1" x14ac:dyDescent="0.25"/>
    <row r="205" s="122" customFormat="1" x14ac:dyDescent="0.25"/>
    <row r="206" s="122" customFormat="1" x14ac:dyDescent="0.25"/>
    <row r="207" s="122" customFormat="1" x14ac:dyDescent="0.25"/>
    <row r="208" s="122" customFormat="1" x14ac:dyDescent="0.25"/>
    <row r="209" s="122" customFormat="1" x14ac:dyDescent="0.25"/>
    <row r="210" s="122" customFormat="1" x14ac:dyDescent="0.25"/>
    <row r="211" s="122" customFormat="1" x14ac:dyDescent="0.25"/>
    <row r="212" s="122" customFormat="1" x14ac:dyDescent="0.25"/>
    <row r="213" s="122" customFormat="1" x14ac:dyDescent="0.25"/>
    <row r="214" s="122" customFormat="1" x14ac:dyDescent="0.25"/>
    <row r="215" s="122" customFormat="1" x14ac:dyDescent="0.25"/>
    <row r="216" s="122" customFormat="1" x14ac:dyDescent="0.25"/>
    <row r="217" s="122" customFormat="1" x14ac:dyDescent="0.25"/>
    <row r="218" s="122" customFormat="1" x14ac:dyDescent="0.25"/>
    <row r="219" s="122" customFormat="1" x14ac:dyDescent="0.25"/>
    <row r="220" s="122" customFormat="1" x14ac:dyDescent="0.25"/>
    <row r="221" s="122" customFormat="1" x14ac:dyDescent="0.25"/>
    <row r="222" s="122" customFormat="1" x14ac:dyDescent="0.25"/>
    <row r="223" s="122" customFormat="1" x14ac:dyDescent="0.25"/>
    <row r="224" s="122" customFormat="1" x14ac:dyDescent="0.25"/>
    <row r="225" s="122" customFormat="1" x14ac:dyDescent="0.25"/>
    <row r="226" s="122" customFormat="1" x14ac:dyDescent="0.25"/>
    <row r="227" s="122" customFormat="1" x14ac:dyDescent="0.25"/>
    <row r="228" s="122" customFormat="1" x14ac:dyDescent="0.25"/>
    <row r="229" s="122" customFormat="1" x14ac:dyDescent="0.25"/>
    <row r="230" s="122" customFormat="1" x14ac:dyDescent="0.25"/>
    <row r="231" s="122" customFormat="1" x14ac:dyDescent="0.25"/>
    <row r="232" s="122" customFormat="1" x14ac:dyDescent="0.25"/>
    <row r="233" s="122" customFormat="1" x14ac:dyDescent="0.25"/>
    <row r="234" s="122" customFormat="1" x14ac:dyDescent="0.25"/>
    <row r="235" s="122" customFormat="1" x14ac:dyDescent="0.25"/>
    <row r="236" s="122" customFormat="1" x14ac:dyDescent="0.25"/>
    <row r="237" s="122" customFormat="1" x14ac:dyDescent="0.25"/>
    <row r="238" s="122" customFormat="1" x14ac:dyDescent="0.25"/>
    <row r="239" s="122" customFormat="1" x14ac:dyDescent="0.25"/>
    <row r="240" s="122" customFormat="1" x14ac:dyDescent="0.25"/>
    <row r="241" s="122" customFormat="1" x14ac:dyDescent="0.25"/>
    <row r="242" s="122" customFormat="1" x14ac:dyDescent="0.25"/>
    <row r="243" s="122" customFormat="1" x14ac:dyDescent="0.25"/>
    <row r="244" s="122" customFormat="1" x14ac:dyDescent="0.25"/>
    <row r="245" s="122" customFormat="1" x14ac:dyDescent="0.25"/>
    <row r="246" s="122" customFormat="1" x14ac:dyDescent="0.25"/>
    <row r="247" s="122" customFormat="1" x14ac:dyDescent="0.25"/>
    <row r="248" s="122" customFormat="1" x14ac:dyDescent="0.25"/>
    <row r="249" s="122" customFormat="1" x14ac:dyDescent="0.25"/>
    <row r="250" s="122" customFormat="1" x14ac:dyDescent="0.25"/>
    <row r="251" s="122" customFormat="1" x14ac:dyDescent="0.25"/>
    <row r="252" s="122" customFormat="1" x14ac:dyDescent="0.25"/>
    <row r="253" s="122" customFormat="1" x14ac:dyDescent="0.25"/>
    <row r="254" s="122" customFormat="1" x14ac:dyDescent="0.25"/>
    <row r="255" s="122" customFormat="1" x14ac:dyDescent="0.25"/>
    <row r="256" s="122" customFormat="1" x14ac:dyDescent="0.25"/>
    <row r="257" s="122" customFormat="1" x14ac:dyDescent="0.25"/>
    <row r="258" s="122" customFormat="1" x14ac:dyDescent="0.25"/>
    <row r="259" s="122" customFormat="1" x14ac:dyDescent="0.25"/>
    <row r="260" s="122" customFormat="1" x14ac:dyDescent="0.25"/>
    <row r="261" s="122" customFormat="1" x14ac:dyDescent="0.25"/>
    <row r="262" s="122" customFormat="1" x14ac:dyDescent="0.25"/>
    <row r="263" s="122" customFormat="1" x14ac:dyDescent="0.25"/>
    <row r="264" s="122" customFormat="1" x14ac:dyDescent="0.25"/>
    <row r="265" s="122" customFormat="1" x14ac:dyDescent="0.25"/>
    <row r="266" s="122" customFormat="1" x14ac:dyDescent="0.25"/>
    <row r="267" s="122" customFormat="1" x14ac:dyDescent="0.25"/>
    <row r="268" s="122" customFormat="1" x14ac:dyDescent="0.25"/>
    <row r="269" s="122" customFormat="1" x14ac:dyDescent="0.25"/>
    <row r="270" s="122" customFormat="1" x14ac:dyDescent="0.25"/>
    <row r="271" s="122" customFormat="1" x14ac:dyDescent="0.25"/>
    <row r="272" s="122" customFormat="1" x14ac:dyDescent="0.25"/>
    <row r="273" s="122" customFormat="1" x14ac:dyDescent="0.25"/>
    <row r="274" s="122" customFormat="1" x14ac:dyDescent="0.25"/>
    <row r="275" s="122" customFormat="1" x14ac:dyDescent="0.25"/>
    <row r="276" s="122" customFormat="1" x14ac:dyDescent="0.25"/>
    <row r="277" s="122" customFormat="1" x14ac:dyDescent="0.25"/>
    <row r="278" s="122" customFormat="1" x14ac:dyDescent="0.25"/>
    <row r="279" s="122" customFormat="1" x14ac:dyDescent="0.25"/>
    <row r="280" s="122" customFormat="1" x14ac:dyDescent="0.25"/>
    <row r="281" s="122" customFormat="1" x14ac:dyDescent="0.25"/>
    <row r="282" s="122" customFormat="1" x14ac:dyDescent="0.25"/>
    <row r="283" s="122" customFormat="1" x14ac:dyDescent="0.25"/>
    <row r="284" s="122" customFormat="1" x14ac:dyDescent="0.25"/>
    <row r="285" s="122" customFormat="1" x14ac:dyDescent="0.25"/>
    <row r="286" s="122" customFormat="1" x14ac:dyDescent="0.25"/>
    <row r="287" s="122" customFormat="1" x14ac:dyDescent="0.25"/>
    <row r="288" s="122" customFormat="1" x14ac:dyDescent="0.25"/>
    <row r="289" s="122" customFormat="1" x14ac:dyDescent="0.25"/>
    <row r="290" s="122" customFormat="1" x14ac:dyDescent="0.25"/>
    <row r="291" s="122" customFormat="1" x14ac:dyDescent="0.25"/>
    <row r="292" s="122" customFormat="1" x14ac:dyDescent="0.25"/>
    <row r="293" s="122" customFormat="1" x14ac:dyDescent="0.25"/>
    <row r="294" s="122" customFormat="1" x14ac:dyDescent="0.25"/>
    <row r="295" s="122" customFormat="1" x14ac:dyDescent="0.25"/>
    <row r="296" s="122" customFormat="1" x14ac:dyDescent="0.25"/>
    <row r="297" s="122" customFormat="1" x14ac:dyDescent="0.25"/>
    <row r="298" s="122" customFormat="1" x14ac:dyDescent="0.25"/>
    <row r="299" s="122" customFormat="1" x14ac:dyDescent="0.25"/>
    <row r="300" s="122" customFormat="1" x14ac:dyDescent="0.25"/>
    <row r="301" s="122" customFormat="1" x14ac:dyDescent="0.25"/>
    <row r="302" s="122" customFormat="1" x14ac:dyDescent="0.25"/>
    <row r="303" s="122" customFormat="1" x14ac:dyDescent="0.25"/>
    <row r="304" s="122" customFormat="1" x14ac:dyDescent="0.25"/>
    <row r="305" s="122" customFormat="1" x14ac:dyDescent="0.25"/>
    <row r="306" s="122" customFormat="1" x14ac:dyDescent="0.25"/>
    <row r="307" s="122" customFormat="1" x14ac:dyDescent="0.25"/>
    <row r="308" s="122" customFormat="1" x14ac:dyDescent="0.25"/>
    <row r="309" s="122" customFormat="1" x14ac:dyDescent="0.25"/>
    <row r="310" s="122" customFormat="1" x14ac:dyDescent="0.25"/>
    <row r="311" s="122" customFormat="1" x14ac:dyDescent="0.25"/>
    <row r="312" s="122" customFormat="1" x14ac:dyDescent="0.25"/>
    <row r="313" s="122" customFormat="1" x14ac:dyDescent="0.25"/>
    <row r="314" s="122" customFormat="1" x14ac:dyDescent="0.25"/>
    <row r="315" s="122" customFormat="1" x14ac:dyDescent="0.25"/>
    <row r="316" s="122" customFormat="1" x14ac:dyDescent="0.25"/>
    <row r="317" s="122" customFormat="1" x14ac:dyDescent="0.25"/>
    <row r="318" s="122" customFormat="1" x14ac:dyDescent="0.25"/>
    <row r="319" s="122" customFormat="1" x14ac:dyDescent="0.25"/>
    <row r="320" s="122" customFormat="1" x14ac:dyDescent="0.25"/>
    <row r="321" s="122" customFormat="1" x14ac:dyDescent="0.25"/>
    <row r="322" s="122" customFormat="1" x14ac:dyDescent="0.25"/>
    <row r="323" s="122" customFormat="1" x14ac:dyDescent="0.25"/>
    <row r="324" s="122" customFormat="1" x14ac:dyDescent="0.25"/>
    <row r="325" s="122" customFormat="1" x14ac:dyDescent="0.25"/>
    <row r="326" s="122" customFormat="1" x14ac:dyDescent="0.25"/>
    <row r="327" s="122" customFormat="1" x14ac:dyDescent="0.25"/>
    <row r="328" s="122" customFormat="1" x14ac:dyDescent="0.25"/>
    <row r="329" s="122" customFormat="1" x14ac:dyDescent="0.25"/>
    <row r="330" s="122" customFormat="1" x14ac:dyDescent="0.25"/>
    <row r="331" s="122" customFormat="1" x14ac:dyDescent="0.25"/>
    <row r="332" s="122" customFormat="1" x14ac:dyDescent="0.25"/>
    <row r="333" s="122" customFormat="1" x14ac:dyDescent="0.25"/>
    <row r="334" s="122" customFormat="1" x14ac:dyDescent="0.25"/>
    <row r="335" s="122" customFormat="1" x14ac:dyDescent="0.25"/>
    <row r="336" s="122" customFormat="1" x14ac:dyDescent="0.25"/>
    <row r="337" s="122" customFormat="1" x14ac:dyDescent="0.25"/>
    <row r="338" s="122" customFormat="1" x14ac:dyDescent="0.25"/>
    <row r="339" s="122" customFormat="1" x14ac:dyDescent="0.25"/>
    <row r="340" s="122" customFormat="1" x14ac:dyDescent="0.25"/>
    <row r="341" s="122" customFormat="1" x14ac:dyDescent="0.25"/>
    <row r="342" s="122" customFormat="1" x14ac:dyDescent="0.25"/>
    <row r="343" s="122" customFormat="1" x14ac:dyDescent="0.25"/>
    <row r="344" s="122" customFormat="1" x14ac:dyDescent="0.25"/>
    <row r="345" s="122" customFormat="1" x14ac:dyDescent="0.25"/>
    <row r="346" s="122" customFormat="1" x14ac:dyDescent="0.25"/>
    <row r="347" s="122" customFormat="1" x14ac:dyDescent="0.25"/>
    <row r="348" s="122" customFormat="1" x14ac:dyDescent="0.25"/>
    <row r="349" s="122" customFormat="1" x14ac:dyDescent="0.25"/>
    <row r="350" s="122" customFormat="1" x14ac:dyDescent="0.25"/>
    <row r="351" s="122" customFormat="1" x14ac:dyDescent="0.25"/>
    <row r="352" s="122" customFormat="1" x14ac:dyDescent="0.25"/>
    <row r="353" s="122" customFormat="1" x14ac:dyDescent="0.25"/>
    <row r="354" s="122" customFormat="1" x14ac:dyDescent="0.25"/>
    <row r="355" s="122" customFormat="1" x14ac:dyDescent="0.25"/>
    <row r="356" s="122" customFormat="1" x14ac:dyDescent="0.25"/>
    <row r="357" s="122" customFormat="1" x14ac:dyDescent="0.25"/>
    <row r="358" s="122" customFormat="1" x14ac:dyDescent="0.25"/>
    <row r="359" s="122" customFormat="1" x14ac:dyDescent="0.25"/>
    <row r="360" s="122" customFormat="1" x14ac:dyDescent="0.25"/>
    <row r="361" s="122" customFormat="1" x14ac:dyDescent="0.25"/>
    <row r="362" s="122" customFormat="1" x14ac:dyDescent="0.25"/>
    <row r="363" s="122" customFormat="1" x14ac:dyDescent="0.25"/>
    <row r="364" s="122" customFormat="1" x14ac:dyDescent="0.25"/>
    <row r="365" s="122" customFormat="1" x14ac:dyDescent="0.25"/>
    <row r="366" s="122" customFormat="1" x14ac:dyDescent="0.25"/>
    <row r="367" s="122" customFormat="1" x14ac:dyDescent="0.25"/>
    <row r="368" s="122" customFormat="1" x14ac:dyDescent="0.25"/>
    <row r="369" s="122" customFormat="1" x14ac:dyDescent="0.25"/>
    <row r="370" s="122" customFormat="1" x14ac:dyDescent="0.25"/>
    <row r="371" s="122" customFormat="1" x14ac:dyDescent="0.25"/>
    <row r="372" s="122" customFormat="1" x14ac:dyDescent="0.25"/>
    <row r="373" s="122" customFormat="1" x14ac:dyDescent="0.25"/>
    <row r="374" s="122" customFormat="1" x14ac:dyDescent="0.25"/>
    <row r="375" s="122" customFormat="1" x14ac:dyDescent="0.25"/>
    <row r="376" s="122" customFormat="1" x14ac:dyDescent="0.25"/>
    <row r="377" s="122" customFormat="1" x14ac:dyDescent="0.25"/>
    <row r="378" s="122" customFormat="1" x14ac:dyDescent="0.25"/>
    <row r="379" s="122" customFormat="1" x14ac:dyDescent="0.25"/>
    <row r="380" s="122" customFormat="1" x14ac:dyDescent="0.25"/>
    <row r="381" s="122" customFormat="1" x14ac:dyDescent="0.25"/>
    <row r="382" s="122" customFormat="1" x14ac:dyDescent="0.25"/>
    <row r="383" s="122" customFormat="1" x14ac:dyDescent="0.25"/>
    <row r="384" s="122" customFormat="1" x14ac:dyDescent="0.25"/>
    <row r="385" s="122" customFormat="1" x14ac:dyDescent="0.25"/>
    <row r="386" s="122" customFormat="1" x14ac:dyDescent="0.25"/>
    <row r="387" s="122" customFormat="1" x14ac:dyDescent="0.25"/>
    <row r="388" s="122" customFormat="1" x14ac:dyDescent="0.25"/>
    <row r="389" s="122" customFormat="1" x14ac:dyDescent="0.25"/>
    <row r="390" s="122" customFormat="1" x14ac:dyDescent="0.25"/>
    <row r="391" s="122" customFormat="1" x14ac:dyDescent="0.25"/>
    <row r="392" s="122" customFormat="1" x14ac:dyDescent="0.25"/>
    <row r="393" s="122" customFormat="1" x14ac:dyDescent="0.25"/>
    <row r="394" s="122" customFormat="1" x14ac:dyDescent="0.25"/>
    <row r="395" s="122" customFormat="1" x14ac:dyDescent="0.25"/>
    <row r="396" s="122" customFormat="1" x14ac:dyDescent="0.25"/>
    <row r="397" s="122" customFormat="1" x14ac:dyDescent="0.25"/>
    <row r="398" s="122" customFormat="1" x14ac:dyDescent="0.25"/>
    <row r="399" s="122" customFormat="1" x14ac:dyDescent="0.25"/>
    <row r="400" s="122" customFormat="1" x14ac:dyDescent="0.25"/>
    <row r="401" s="122" customFormat="1" x14ac:dyDescent="0.25"/>
    <row r="402" s="122" customFormat="1" x14ac:dyDescent="0.25"/>
    <row r="403" s="122" customFormat="1" x14ac:dyDescent="0.25"/>
    <row r="404" s="122" customFormat="1" x14ac:dyDescent="0.25"/>
    <row r="405" s="122" customFormat="1" x14ac:dyDescent="0.25"/>
    <row r="406" s="122" customFormat="1" x14ac:dyDescent="0.25"/>
    <row r="407" s="122" customFormat="1" x14ac:dyDescent="0.25"/>
    <row r="408" s="122" customFormat="1" x14ac:dyDescent="0.25"/>
    <row r="409" s="122" customFormat="1" x14ac:dyDescent="0.25"/>
    <row r="410" s="122" customFormat="1" x14ac:dyDescent="0.25"/>
    <row r="411" s="122" customFormat="1" x14ac:dyDescent="0.25"/>
    <row r="412" s="122" customFormat="1" x14ac:dyDescent="0.25"/>
    <row r="413" s="122" customFormat="1" x14ac:dyDescent="0.25"/>
    <row r="414" s="122" customFormat="1" x14ac:dyDescent="0.25"/>
    <row r="415" s="122" customFormat="1" x14ac:dyDescent="0.25"/>
    <row r="416" s="122" customFormat="1" x14ac:dyDescent="0.25"/>
    <row r="417" s="122" customFormat="1" x14ac:dyDescent="0.25"/>
    <row r="418" s="122" customFormat="1" x14ac:dyDescent="0.25"/>
    <row r="419" s="122" customFormat="1" x14ac:dyDescent="0.25"/>
    <row r="420" s="122" customFormat="1" x14ac:dyDescent="0.25"/>
    <row r="421" s="122" customFormat="1" x14ac:dyDescent="0.25"/>
    <row r="422" s="122" customFormat="1" x14ac:dyDescent="0.25"/>
    <row r="423" s="122" customFormat="1" x14ac:dyDescent="0.25"/>
    <row r="424" s="122" customFormat="1" x14ac:dyDescent="0.25"/>
    <row r="425" s="122" customFormat="1" x14ac:dyDescent="0.25"/>
    <row r="426" s="122" customFormat="1" x14ac:dyDescent="0.25"/>
    <row r="427" s="122" customFormat="1" x14ac:dyDescent="0.25"/>
    <row r="428" s="122" customFormat="1" x14ac:dyDescent="0.25"/>
    <row r="429" s="122" customFormat="1" x14ac:dyDescent="0.25"/>
    <row r="430" s="122" customFormat="1" x14ac:dyDescent="0.25"/>
    <row r="431" s="122" customFormat="1" x14ac:dyDescent="0.25"/>
    <row r="432" s="122" customFormat="1" x14ac:dyDescent="0.25"/>
    <row r="433" s="122" customFormat="1" x14ac:dyDescent="0.25"/>
    <row r="434" s="122" customFormat="1" x14ac:dyDescent="0.25"/>
    <row r="435" s="122" customFormat="1" x14ac:dyDescent="0.25"/>
    <row r="436" s="122" customFormat="1" x14ac:dyDescent="0.25"/>
    <row r="437" s="122" customFormat="1" x14ac:dyDescent="0.25"/>
    <row r="438" s="122" customFormat="1" x14ac:dyDescent="0.25"/>
    <row r="439" s="122" customFormat="1" x14ac:dyDescent="0.25"/>
    <row r="440" s="122" customFormat="1" x14ac:dyDescent="0.25"/>
    <row r="441" s="122" customFormat="1" x14ac:dyDescent="0.25"/>
    <row r="442" s="122" customFormat="1" x14ac:dyDescent="0.25"/>
    <row r="443" s="122" customFormat="1" x14ac:dyDescent="0.25"/>
    <row r="444" s="122" customFormat="1" x14ac:dyDescent="0.25"/>
    <row r="445" s="122" customFormat="1" x14ac:dyDescent="0.25"/>
    <row r="446" s="122" customFormat="1" x14ac:dyDescent="0.25"/>
    <row r="447" s="122" customFormat="1" x14ac:dyDescent="0.25"/>
    <row r="448" s="122" customFormat="1" x14ac:dyDescent="0.25"/>
    <row r="449" s="122" customFormat="1" x14ac:dyDescent="0.25"/>
    <row r="450" s="122" customFormat="1" x14ac:dyDescent="0.25"/>
    <row r="451" s="122" customFormat="1" x14ac:dyDescent="0.25"/>
    <row r="452" s="122" customFormat="1" x14ac:dyDescent="0.25"/>
    <row r="453" s="122" customFormat="1" x14ac:dyDescent="0.25"/>
    <row r="454" s="122" customFormat="1" x14ac:dyDescent="0.25"/>
    <row r="455" s="122" customFormat="1" x14ac:dyDescent="0.25"/>
    <row r="456" s="122" customFormat="1" x14ac:dyDescent="0.25"/>
    <row r="457" s="122" customFormat="1" x14ac:dyDescent="0.25"/>
    <row r="458" s="122" customFormat="1" x14ac:dyDescent="0.25"/>
    <row r="459" s="122" customFormat="1" x14ac:dyDescent="0.25"/>
    <row r="460" s="122" customFormat="1" x14ac:dyDescent="0.25"/>
    <row r="461" s="122" customFormat="1" x14ac:dyDescent="0.25"/>
    <row r="462" s="122" customFormat="1" x14ac:dyDescent="0.25"/>
    <row r="463" s="122" customFormat="1" x14ac:dyDescent="0.25"/>
    <row r="464" s="122" customFormat="1" x14ac:dyDescent="0.25"/>
    <row r="465" s="122" customFormat="1" x14ac:dyDescent="0.25"/>
    <row r="466" s="122" customFormat="1" x14ac:dyDescent="0.25"/>
    <row r="467" s="122" customFormat="1" x14ac:dyDescent="0.25"/>
    <row r="468" s="122" customFormat="1" x14ac:dyDescent="0.25"/>
    <row r="469" s="122" customFormat="1" x14ac:dyDescent="0.25"/>
    <row r="470" s="122" customFormat="1" x14ac:dyDescent="0.25"/>
    <row r="471" s="122" customFormat="1" x14ac:dyDescent="0.25"/>
    <row r="472" s="122" customFormat="1" x14ac:dyDescent="0.25"/>
    <row r="473" s="122" customFormat="1" x14ac:dyDescent="0.25"/>
    <row r="474" s="122" customFormat="1" x14ac:dyDescent="0.25"/>
    <row r="475" s="122" customFormat="1" x14ac:dyDescent="0.25"/>
    <row r="476" s="122" customFormat="1" x14ac:dyDescent="0.25"/>
    <row r="477" s="122" customFormat="1" x14ac:dyDescent="0.25"/>
    <row r="478" s="122" customFormat="1" x14ac:dyDescent="0.25"/>
    <row r="479" s="122" customFormat="1" x14ac:dyDescent="0.25"/>
    <row r="480" s="122" customFormat="1" x14ac:dyDescent="0.25"/>
    <row r="481" s="122" customFormat="1" x14ac:dyDescent="0.25"/>
    <row r="482" s="122" customFormat="1" x14ac:dyDescent="0.25"/>
    <row r="483" s="122" customFormat="1" x14ac:dyDescent="0.25"/>
    <row r="484" s="122" customFormat="1" x14ac:dyDescent="0.25"/>
    <row r="485" s="122" customFormat="1" x14ac:dyDescent="0.25"/>
    <row r="486" s="122" customFormat="1" x14ac:dyDescent="0.25"/>
    <row r="487" s="122" customFormat="1" x14ac:dyDescent="0.25"/>
    <row r="488" s="122" customFormat="1" x14ac:dyDescent="0.25"/>
    <row r="489" s="122" customFormat="1" x14ac:dyDescent="0.25"/>
    <row r="490" s="122" customFormat="1" x14ac:dyDescent="0.25"/>
    <row r="491" s="122" customFormat="1" x14ac:dyDescent="0.25"/>
    <row r="492" s="122" customFormat="1" x14ac:dyDescent="0.25"/>
    <row r="493" s="122" customFormat="1" x14ac:dyDescent="0.25"/>
    <row r="494" s="122" customFormat="1" x14ac:dyDescent="0.25"/>
    <row r="495" s="122" customFormat="1" x14ac:dyDescent="0.25"/>
    <row r="496" s="122" customFormat="1" x14ac:dyDescent="0.25"/>
    <row r="497" s="122" customFormat="1" x14ac:dyDescent="0.25"/>
    <row r="498" s="122" customFormat="1" x14ac:dyDescent="0.25"/>
    <row r="499" s="122" customFormat="1" x14ac:dyDescent="0.25"/>
    <row r="500" s="122" customFormat="1" x14ac:dyDescent="0.25"/>
    <row r="501" s="122" customFormat="1" x14ac:dyDescent="0.25"/>
    <row r="502" s="122" customFormat="1" x14ac:dyDescent="0.25"/>
    <row r="503" s="122" customFormat="1" x14ac:dyDescent="0.25"/>
    <row r="504" s="122" customFormat="1" x14ac:dyDescent="0.25"/>
    <row r="505" s="122" customFormat="1" x14ac:dyDescent="0.25"/>
    <row r="506" s="122" customFormat="1" x14ac:dyDescent="0.25"/>
    <row r="507" s="122" customFormat="1" x14ac:dyDescent="0.25"/>
    <row r="508" s="122" customFormat="1" x14ac:dyDescent="0.25"/>
    <row r="509" s="122" customFormat="1" x14ac:dyDescent="0.25"/>
    <row r="510" s="122" customFormat="1" x14ac:dyDescent="0.25"/>
    <row r="511" s="122" customFormat="1" x14ac:dyDescent="0.25"/>
    <row r="512" s="122" customFormat="1" x14ac:dyDescent="0.25"/>
    <row r="513" s="122" customFormat="1" x14ac:dyDescent="0.25"/>
    <row r="514" s="122" customFormat="1" x14ac:dyDescent="0.25"/>
    <row r="515" s="122" customFormat="1" x14ac:dyDescent="0.25"/>
    <row r="516" s="122" customFormat="1" x14ac:dyDescent="0.25"/>
    <row r="517" s="122" customFormat="1" x14ac:dyDescent="0.25"/>
    <row r="518" s="122" customFormat="1" x14ac:dyDescent="0.25"/>
    <row r="519" s="122" customFormat="1" x14ac:dyDescent="0.25"/>
    <row r="520" s="122" customFormat="1" x14ac:dyDescent="0.25"/>
    <row r="521" s="122" customFormat="1" x14ac:dyDescent="0.25"/>
    <row r="522" s="122" customFormat="1" x14ac:dyDescent="0.25"/>
    <row r="523" s="122" customFormat="1" x14ac:dyDescent="0.25"/>
    <row r="524" s="122" customFormat="1" x14ac:dyDescent="0.25"/>
    <row r="525" s="122" customFormat="1" x14ac:dyDescent="0.25"/>
    <row r="526" s="122" customFormat="1" x14ac:dyDescent="0.25"/>
    <row r="527" s="122" customFormat="1" x14ac:dyDescent="0.25"/>
    <row r="528" s="122" customFormat="1" x14ac:dyDescent="0.25"/>
    <row r="529" s="122" customFormat="1" x14ac:dyDescent="0.25"/>
    <row r="530" s="122" customFormat="1" x14ac:dyDescent="0.25"/>
    <row r="531" s="122" customFormat="1" x14ac:dyDescent="0.25"/>
    <row r="532" s="122" customFormat="1" x14ac:dyDescent="0.25"/>
    <row r="533" s="122" customFormat="1" x14ac:dyDescent="0.25"/>
    <row r="534" s="122" customFormat="1" x14ac:dyDescent="0.25"/>
    <row r="535" s="122" customFormat="1" x14ac:dyDescent="0.25"/>
    <row r="536" s="122" customFormat="1" x14ac:dyDescent="0.25"/>
    <row r="537" s="122" customFormat="1" x14ac:dyDescent="0.25"/>
    <row r="538" s="122" customFormat="1" x14ac:dyDescent="0.25"/>
    <row r="539" s="122" customFormat="1" x14ac:dyDescent="0.25"/>
    <row r="540" s="122" customFormat="1" x14ac:dyDescent="0.25"/>
    <row r="541" s="122" customFormat="1" x14ac:dyDescent="0.25"/>
    <row r="542" s="122" customFormat="1" x14ac:dyDescent="0.25"/>
    <row r="543" s="122" customFormat="1" x14ac:dyDescent="0.25"/>
    <row r="544" s="122" customFormat="1" x14ac:dyDescent="0.25"/>
    <row r="545" s="122" customFormat="1" x14ac:dyDescent="0.25"/>
    <row r="546" s="122" customFormat="1" x14ac:dyDescent="0.25"/>
    <row r="547" s="122" customFormat="1" x14ac:dyDescent="0.25"/>
    <row r="548" s="122" customFormat="1" x14ac:dyDescent="0.25"/>
    <row r="549" s="122" customFormat="1" x14ac:dyDescent="0.25"/>
    <row r="550" s="122" customFormat="1" x14ac:dyDescent="0.25"/>
    <row r="551" s="122" customFormat="1" x14ac:dyDescent="0.25"/>
    <row r="552" s="122" customFormat="1" x14ac:dyDescent="0.25"/>
    <row r="553" s="122" customFormat="1" x14ac:dyDescent="0.25"/>
    <row r="554" s="122" customFormat="1" x14ac:dyDescent="0.25"/>
    <row r="555" s="122" customFormat="1" x14ac:dyDescent="0.25"/>
    <row r="556" s="122" customFormat="1" x14ac:dyDescent="0.25"/>
    <row r="557" s="122" customFormat="1" x14ac:dyDescent="0.25"/>
    <row r="558" s="122" customFormat="1" x14ac:dyDescent="0.25"/>
    <row r="559" s="122" customFormat="1" x14ac:dyDescent="0.25"/>
    <row r="560" s="122" customFormat="1" x14ac:dyDescent="0.25"/>
    <row r="561" s="122" customFormat="1" x14ac:dyDescent="0.25"/>
    <row r="562" s="122" customFormat="1" x14ac:dyDescent="0.25"/>
    <row r="563" s="122" customFormat="1" x14ac:dyDescent="0.25"/>
    <row r="564" s="122" customFormat="1" x14ac:dyDescent="0.25"/>
    <row r="565" s="122" customFormat="1" x14ac:dyDescent="0.25"/>
    <row r="566" s="122" customFormat="1" x14ac:dyDescent="0.25"/>
    <row r="567" s="122" customFormat="1" x14ac:dyDescent="0.25"/>
    <row r="568" s="122" customFormat="1" x14ac:dyDescent="0.25"/>
    <row r="569" s="122" customFormat="1" x14ac:dyDescent="0.25"/>
    <row r="570" s="122" customFormat="1" x14ac:dyDescent="0.25"/>
    <row r="571" s="122" customFormat="1" x14ac:dyDescent="0.25"/>
    <row r="572" s="122" customFormat="1" x14ac:dyDescent="0.25"/>
    <row r="573" s="122" customFormat="1" x14ac:dyDescent="0.25"/>
    <row r="574" s="122" customFormat="1" x14ac:dyDescent="0.25"/>
    <row r="575" s="122" customFormat="1" x14ac:dyDescent="0.25"/>
    <row r="576" s="122" customFormat="1" x14ac:dyDescent="0.25"/>
    <row r="577" s="122" customFormat="1" x14ac:dyDescent="0.25"/>
    <row r="578" s="122" customFormat="1" x14ac:dyDescent="0.25"/>
    <row r="579" s="122" customFormat="1" x14ac:dyDescent="0.25"/>
    <row r="580" s="122" customFormat="1" x14ac:dyDescent="0.25"/>
    <row r="581" s="122" customFormat="1" x14ac:dyDescent="0.25"/>
    <row r="582" s="122" customFormat="1" x14ac:dyDescent="0.25"/>
    <row r="583" s="122" customFormat="1" x14ac:dyDescent="0.25"/>
    <row r="584" s="122" customFormat="1" x14ac:dyDescent="0.25"/>
    <row r="585" s="122" customFormat="1" x14ac:dyDescent="0.25"/>
    <row r="586" s="122" customFormat="1" x14ac:dyDescent="0.25"/>
    <row r="587" s="122" customFormat="1" x14ac:dyDescent="0.25"/>
    <row r="588" s="122" customFormat="1" x14ac:dyDescent="0.25"/>
    <row r="589" s="122" customFormat="1" x14ac:dyDescent="0.25"/>
    <row r="590" s="122" customFormat="1" x14ac:dyDescent="0.25"/>
    <row r="591" s="122" customFormat="1" x14ac:dyDescent="0.25"/>
    <row r="592" s="122" customFormat="1" x14ac:dyDescent="0.25"/>
    <row r="593" s="122" customFormat="1" x14ac:dyDescent="0.25"/>
    <row r="594" s="122" customFormat="1" x14ac:dyDescent="0.25"/>
    <row r="595" s="122" customFormat="1" x14ac:dyDescent="0.25"/>
    <row r="596" s="122" customFormat="1" x14ac:dyDescent="0.25"/>
    <row r="597" s="122" customFormat="1" x14ac:dyDescent="0.25"/>
    <row r="598" s="122" customFormat="1" x14ac:dyDescent="0.25"/>
    <row r="599" s="122" customFormat="1" x14ac:dyDescent="0.25"/>
    <row r="600" s="122" customFormat="1" x14ac:dyDescent="0.25"/>
    <row r="601" s="122" customFormat="1" x14ac:dyDescent="0.25"/>
    <row r="602" s="122" customFormat="1" x14ac:dyDescent="0.25"/>
    <row r="603" s="122" customFormat="1" x14ac:dyDescent="0.25"/>
    <row r="604" s="122" customFormat="1" x14ac:dyDescent="0.25"/>
    <row r="605" s="122" customFormat="1" x14ac:dyDescent="0.25"/>
    <row r="606" s="122" customFormat="1" x14ac:dyDescent="0.25"/>
    <row r="607" s="122" customFormat="1" x14ac:dyDescent="0.25"/>
    <row r="608" s="122" customFormat="1" x14ac:dyDescent="0.25"/>
    <row r="609" s="122" customFormat="1" x14ac:dyDescent="0.25"/>
    <row r="610" s="122" customFormat="1" x14ac:dyDescent="0.25"/>
    <row r="611" s="122" customFormat="1" x14ac:dyDescent="0.25"/>
    <row r="612" s="122" customFormat="1" x14ac:dyDescent="0.25"/>
    <row r="613" s="122" customFormat="1" x14ac:dyDescent="0.25"/>
    <row r="614" s="122" customFormat="1" x14ac:dyDescent="0.25"/>
    <row r="615" s="122" customFormat="1" x14ac:dyDescent="0.25"/>
    <row r="616" s="122" customFormat="1" x14ac:dyDescent="0.25"/>
    <row r="617" s="122" customFormat="1" x14ac:dyDescent="0.25"/>
    <row r="618" s="122" customFormat="1" x14ac:dyDescent="0.25"/>
    <row r="619" s="122" customFormat="1" x14ac:dyDescent="0.25"/>
    <row r="620" s="122" customFormat="1" x14ac:dyDescent="0.25"/>
    <row r="621" s="122" customFormat="1" x14ac:dyDescent="0.25"/>
    <row r="622" s="122" customFormat="1" x14ac:dyDescent="0.25"/>
    <row r="623" s="122" customFormat="1" x14ac:dyDescent="0.25"/>
    <row r="624" s="122" customFormat="1" x14ac:dyDescent="0.25"/>
    <row r="625" s="122" customFormat="1" x14ac:dyDescent="0.25"/>
    <row r="626" s="122" customFormat="1" x14ac:dyDescent="0.25"/>
    <row r="627" s="122" customFormat="1" x14ac:dyDescent="0.25"/>
    <row r="628" s="122" customFormat="1" x14ac:dyDescent="0.25"/>
    <row r="629" s="122" customFormat="1" x14ac:dyDescent="0.25"/>
    <row r="630" s="122" customFormat="1" x14ac:dyDescent="0.25"/>
    <row r="631" s="122" customFormat="1" x14ac:dyDescent="0.25"/>
    <row r="632" s="122" customFormat="1" x14ac:dyDescent="0.25"/>
    <row r="633" s="122" customFormat="1" x14ac:dyDescent="0.25"/>
    <row r="634" s="122" customFormat="1" x14ac:dyDescent="0.25"/>
    <row r="635" s="122" customFormat="1" x14ac:dyDescent="0.25"/>
    <row r="636" s="122" customFormat="1" x14ac:dyDescent="0.25"/>
    <row r="637" s="122" customFormat="1" x14ac:dyDescent="0.25"/>
    <row r="638" s="122" customFormat="1" x14ac:dyDescent="0.25"/>
    <row r="639" s="122" customFormat="1" x14ac:dyDescent="0.25"/>
    <row r="640" s="122" customFormat="1" x14ac:dyDescent="0.25"/>
    <row r="641" s="122" customFormat="1" x14ac:dyDescent="0.25"/>
    <row r="642" s="122" customFormat="1" x14ac:dyDescent="0.25"/>
    <row r="643" s="122" customFormat="1" x14ac:dyDescent="0.25"/>
    <row r="644" s="122" customFormat="1" x14ac:dyDescent="0.25"/>
    <row r="645" s="122" customFormat="1" x14ac:dyDescent="0.25"/>
    <row r="646" s="122" customFormat="1" x14ac:dyDescent="0.25"/>
    <row r="647" s="122" customFormat="1" x14ac:dyDescent="0.25"/>
    <row r="648" s="122" customFormat="1" x14ac:dyDescent="0.25"/>
    <row r="649" s="122" customFormat="1" x14ac:dyDescent="0.25"/>
    <row r="650" s="122" customFormat="1" x14ac:dyDescent="0.25"/>
    <row r="651" s="122" customFormat="1" x14ac:dyDescent="0.25"/>
    <row r="652" s="122" customFormat="1" x14ac:dyDescent="0.25"/>
    <row r="653" s="122" customFormat="1" x14ac:dyDescent="0.25"/>
    <row r="654" s="122" customFormat="1" x14ac:dyDescent="0.25"/>
    <row r="655" s="122" customFormat="1" x14ac:dyDescent="0.25"/>
    <row r="656" s="122" customFormat="1" x14ac:dyDescent="0.25"/>
    <row r="657" s="122" customFormat="1" x14ac:dyDescent="0.25"/>
    <row r="658" s="122" customFormat="1" x14ac:dyDescent="0.25"/>
    <row r="659" s="122" customFormat="1" x14ac:dyDescent="0.25"/>
    <row r="660" s="122" customFormat="1" x14ac:dyDescent="0.25"/>
    <row r="661" s="122" customFormat="1" x14ac:dyDescent="0.25"/>
    <row r="662" s="122" customFormat="1" x14ac:dyDescent="0.25"/>
    <row r="663" s="122" customFormat="1" x14ac:dyDescent="0.25"/>
    <row r="664" s="122" customFormat="1" x14ac:dyDescent="0.25"/>
    <row r="665" s="122" customFormat="1" x14ac:dyDescent="0.25"/>
    <row r="666" s="122" customFormat="1" x14ac:dyDescent="0.25"/>
    <row r="667" s="122" customFormat="1" x14ac:dyDescent="0.25"/>
    <row r="668" s="122" customFormat="1" x14ac:dyDescent="0.25"/>
    <row r="669" s="122" customFormat="1" x14ac:dyDescent="0.25"/>
    <row r="670" s="122" customFormat="1" x14ac:dyDescent="0.25"/>
    <row r="671" s="122" customFormat="1" x14ac:dyDescent="0.25"/>
    <row r="672" s="122" customFormat="1" x14ac:dyDescent="0.25"/>
    <row r="673" s="122" customFormat="1" x14ac:dyDescent="0.25"/>
    <row r="674" s="122" customFormat="1" x14ac:dyDescent="0.25"/>
    <row r="675" s="122" customFormat="1" x14ac:dyDescent="0.25"/>
    <row r="676" s="122" customFormat="1" x14ac:dyDescent="0.25"/>
    <row r="677" s="122" customFormat="1" x14ac:dyDescent="0.25"/>
    <row r="678" s="122" customFormat="1" x14ac:dyDescent="0.25"/>
    <row r="679" s="122" customFormat="1" x14ac:dyDescent="0.25"/>
    <row r="680" s="122" customFormat="1" x14ac:dyDescent="0.25"/>
    <row r="681" s="122" customFormat="1" x14ac:dyDescent="0.25"/>
    <row r="682" s="122" customFormat="1" x14ac:dyDescent="0.25"/>
    <row r="683" s="122" customFormat="1" x14ac:dyDescent="0.25"/>
    <row r="684" s="122" customFormat="1" x14ac:dyDescent="0.25"/>
    <row r="685" s="122" customFormat="1" x14ac:dyDescent="0.25"/>
    <row r="686" s="122" customFormat="1" x14ac:dyDescent="0.25"/>
    <row r="687" s="122" customFormat="1" x14ac:dyDescent="0.25"/>
    <row r="688" s="122" customFormat="1" x14ac:dyDescent="0.25"/>
    <row r="689" s="122" customFormat="1" x14ac:dyDescent="0.25"/>
    <row r="690" s="122" customFormat="1" x14ac:dyDescent="0.25"/>
    <row r="691" s="122" customFormat="1" x14ac:dyDescent="0.25"/>
    <row r="692" s="122" customFormat="1" x14ac:dyDescent="0.25"/>
    <row r="693" s="122" customFormat="1" x14ac:dyDescent="0.25"/>
    <row r="694" s="122" customFormat="1" x14ac:dyDescent="0.25"/>
    <row r="695" s="122" customFormat="1" x14ac:dyDescent="0.25"/>
    <row r="696" s="122" customFormat="1" x14ac:dyDescent="0.25"/>
    <row r="697" s="122" customFormat="1" x14ac:dyDescent="0.25"/>
    <row r="698" s="122" customFormat="1" x14ac:dyDescent="0.25"/>
    <row r="699" s="122" customFormat="1" x14ac:dyDescent="0.25"/>
    <row r="700" s="122" customFormat="1" x14ac:dyDescent="0.25"/>
    <row r="701" s="122" customFormat="1" x14ac:dyDescent="0.25"/>
    <row r="702" s="122" customFormat="1" x14ac:dyDescent="0.25"/>
    <row r="703" s="122" customFormat="1" x14ac:dyDescent="0.25"/>
    <row r="704" s="122" customFormat="1" x14ac:dyDescent="0.25"/>
    <row r="705" s="122" customFormat="1" x14ac:dyDescent="0.25"/>
    <row r="706" s="122" customFormat="1" x14ac:dyDescent="0.25"/>
    <row r="707" s="122" customFormat="1" x14ac:dyDescent="0.25"/>
    <row r="708" s="122" customFormat="1" x14ac:dyDescent="0.25"/>
    <row r="709" s="122" customFormat="1" x14ac:dyDescent="0.25"/>
    <row r="710" s="122" customFormat="1" x14ac:dyDescent="0.25"/>
    <row r="711" s="122" customFormat="1" x14ac:dyDescent="0.25"/>
    <row r="712" s="122" customFormat="1" x14ac:dyDescent="0.25"/>
    <row r="713" s="122" customFormat="1" x14ac:dyDescent="0.25"/>
    <row r="714" s="122" customFormat="1" x14ac:dyDescent="0.25"/>
    <row r="715" s="122" customFormat="1" x14ac:dyDescent="0.25"/>
    <row r="716" s="122" customFormat="1" x14ac:dyDescent="0.25"/>
    <row r="717" s="122" customFormat="1" x14ac:dyDescent="0.25"/>
    <row r="718" s="122" customFormat="1" x14ac:dyDescent="0.25"/>
    <row r="719" s="122" customFormat="1" x14ac:dyDescent="0.25"/>
    <row r="720" s="122" customFormat="1" x14ac:dyDescent="0.25"/>
    <row r="721" s="122" customFormat="1" x14ac:dyDescent="0.25"/>
    <row r="722" s="122" customFormat="1" x14ac:dyDescent="0.25"/>
    <row r="723" s="122" customFormat="1" x14ac:dyDescent="0.25"/>
    <row r="724" s="122" customFormat="1" x14ac:dyDescent="0.25"/>
    <row r="725" s="122" customFormat="1" x14ac:dyDescent="0.25"/>
    <row r="726" s="122" customFormat="1" x14ac:dyDescent="0.25"/>
    <row r="727" s="122" customFormat="1" x14ac:dyDescent="0.25"/>
    <row r="728" s="122" customFormat="1" x14ac:dyDescent="0.25"/>
    <row r="729" s="122" customFormat="1" x14ac:dyDescent="0.25"/>
    <row r="730" s="122" customFormat="1" x14ac:dyDescent="0.25"/>
    <row r="731" s="122" customFormat="1" x14ac:dyDescent="0.25"/>
    <row r="732" s="122" customFormat="1" x14ac:dyDescent="0.25"/>
    <row r="733" s="122" customFormat="1" x14ac:dyDescent="0.25"/>
    <row r="734" s="122" customFormat="1" x14ac:dyDescent="0.25"/>
    <row r="735" s="122" customFormat="1" x14ac:dyDescent="0.25"/>
    <row r="736" s="122" customFormat="1" x14ac:dyDescent="0.25"/>
    <row r="737" s="122" customFormat="1" x14ac:dyDescent="0.25"/>
    <row r="738" s="122" customFormat="1" x14ac:dyDescent="0.25"/>
    <row r="739" s="122" customFormat="1" x14ac:dyDescent="0.25"/>
    <row r="740" s="122" customFormat="1" x14ac:dyDescent="0.25"/>
    <row r="741" s="122" customFormat="1" x14ac:dyDescent="0.25"/>
    <row r="742" s="122" customFormat="1" x14ac:dyDescent="0.25"/>
    <row r="743" s="122" customFormat="1" x14ac:dyDescent="0.25"/>
    <row r="744" s="122" customFormat="1" x14ac:dyDescent="0.25"/>
    <row r="745" s="122" customFormat="1" x14ac:dyDescent="0.25"/>
    <row r="746" s="122" customFormat="1" x14ac:dyDescent="0.25"/>
    <row r="747" s="122" customFormat="1" x14ac:dyDescent="0.25"/>
    <row r="748" s="122" customFormat="1" x14ac:dyDescent="0.25"/>
    <row r="749" s="122" customFormat="1" x14ac:dyDescent="0.25"/>
    <row r="750" s="122" customFormat="1" x14ac:dyDescent="0.25"/>
    <row r="751" s="122" customFormat="1" x14ac:dyDescent="0.25"/>
    <row r="752" s="122" customFormat="1" x14ac:dyDescent="0.25"/>
    <row r="753" s="122" customFormat="1" x14ac:dyDescent="0.25"/>
    <row r="754" s="122" customFormat="1" x14ac:dyDescent="0.25"/>
    <row r="755" s="122" customFormat="1" x14ac:dyDescent="0.25"/>
    <row r="756" s="122" customFormat="1" x14ac:dyDescent="0.25"/>
    <row r="757" s="122" customFormat="1" x14ac:dyDescent="0.25"/>
    <row r="758" s="122" customFormat="1" x14ac:dyDescent="0.25"/>
    <row r="759" s="122" customFormat="1" x14ac:dyDescent="0.25"/>
    <row r="760" s="122" customFormat="1" x14ac:dyDescent="0.25"/>
    <row r="761" s="122" customFormat="1" x14ac:dyDescent="0.25"/>
    <row r="762" s="122" customFormat="1" x14ac:dyDescent="0.25"/>
    <row r="763" s="122" customFormat="1" x14ac:dyDescent="0.25"/>
    <row r="764" s="122" customFormat="1" x14ac:dyDescent="0.25"/>
    <row r="765" s="122" customFormat="1" x14ac:dyDescent="0.25"/>
    <row r="766" s="122" customFormat="1" x14ac:dyDescent="0.25"/>
    <row r="767" s="122" customFormat="1" x14ac:dyDescent="0.25"/>
    <row r="768" s="122" customFormat="1" x14ac:dyDescent="0.25"/>
    <row r="769" s="122" customFormat="1" x14ac:dyDescent="0.25"/>
    <row r="770" s="122" customFormat="1" x14ac:dyDescent="0.25"/>
    <row r="771" s="122" customFormat="1" x14ac:dyDescent="0.25"/>
    <row r="772" s="122" customFormat="1" x14ac:dyDescent="0.25"/>
    <row r="773" s="122" customFormat="1" x14ac:dyDescent="0.25"/>
    <row r="774" s="122" customFormat="1" x14ac:dyDescent="0.25"/>
    <row r="775" s="122" customFormat="1" x14ac:dyDescent="0.25"/>
    <row r="776" s="122" customFormat="1" x14ac:dyDescent="0.25"/>
    <row r="777" s="122" customFormat="1" x14ac:dyDescent="0.25"/>
    <row r="778" s="122" customFormat="1" x14ac:dyDescent="0.25"/>
    <row r="779" s="122" customFormat="1" x14ac:dyDescent="0.25"/>
    <row r="780" s="122" customFormat="1" x14ac:dyDescent="0.25"/>
    <row r="781" s="122" customFormat="1" x14ac:dyDescent="0.25"/>
    <row r="782" s="122" customFormat="1" x14ac:dyDescent="0.25"/>
    <row r="783" s="122" customFormat="1" x14ac:dyDescent="0.25"/>
    <row r="784" s="122" customFormat="1" x14ac:dyDescent="0.25"/>
    <row r="785" s="122" customFormat="1" x14ac:dyDescent="0.25"/>
    <row r="786" s="122" customFormat="1" x14ac:dyDescent="0.25"/>
    <row r="787" s="122" customFormat="1" x14ac:dyDescent="0.25"/>
    <row r="788" s="122" customFormat="1" x14ac:dyDescent="0.25"/>
    <row r="789" s="122" customFormat="1" x14ac:dyDescent="0.25"/>
    <row r="790" s="122" customFormat="1" x14ac:dyDescent="0.25"/>
    <row r="791" s="122" customFormat="1" x14ac:dyDescent="0.25"/>
    <row r="792" s="122" customFormat="1" x14ac:dyDescent="0.25"/>
    <row r="793" s="122" customFormat="1" x14ac:dyDescent="0.25"/>
    <row r="794" s="122" customFormat="1" x14ac:dyDescent="0.25"/>
    <row r="795" s="122" customFormat="1" x14ac:dyDescent="0.25"/>
    <row r="796" s="122" customFormat="1" x14ac:dyDescent="0.25"/>
    <row r="797" s="122" customFormat="1" x14ac:dyDescent="0.25"/>
    <row r="798" s="122" customFormat="1" x14ac:dyDescent="0.25"/>
    <row r="799" s="122" customFormat="1" x14ac:dyDescent="0.25"/>
    <row r="800" s="122" customFormat="1" x14ac:dyDescent="0.25"/>
    <row r="801" s="122" customFormat="1" x14ac:dyDescent="0.25"/>
    <row r="802" s="122" customFormat="1" x14ac:dyDescent="0.25"/>
    <row r="803" s="122" customFormat="1" x14ac:dyDescent="0.25"/>
    <row r="804" s="122" customFormat="1" x14ac:dyDescent="0.25"/>
    <row r="805" s="122" customFormat="1" x14ac:dyDescent="0.25"/>
    <row r="806" s="122" customFormat="1" x14ac:dyDescent="0.25"/>
    <row r="807" s="122" customFormat="1" x14ac:dyDescent="0.25"/>
    <row r="808" s="122" customFormat="1" x14ac:dyDescent="0.25"/>
    <row r="809" s="122" customFormat="1" x14ac:dyDescent="0.25"/>
    <row r="810" s="122" customFormat="1" x14ac:dyDescent="0.25"/>
    <row r="811" s="122" customFormat="1" x14ac:dyDescent="0.25"/>
    <row r="812" s="122" customFormat="1" x14ac:dyDescent="0.25"/>
    <row r="813" s="122" customFormat="1" x14ac:dyDescent="0.25"/>
    <row r="814" s="122" customFormat="1" x14ac:dyDescent="0.25"/>
    <row r="815" s="122" customFormat="1" x14ac:dyDescent="0.25"/>
    <row r="816" s="122" customFormat="1" x14ac:dyDescent="0.25"/>
    <row r="817" s="122" customFormat="1" x14ac:dyDescent="0.25"/>
    <row r="818" s="122" customFormat="1" x14ac:dyDescent="0.25"/>
    <row r="819" s="122" customFormat="1" x14ac:dyDescent="0.25"/>
    <row r="820" s="122" customFormat="1" x14ac:dyDescent="0.25"/>
    <row r="821" s="122" customFormat="1" x14ac:dyDescent="0.25"/>
    <row r="822" s="122" customFormat="1" x14ac:dyDescent="0.25"/>
    <row r="823" s="122" customFormat="1" x14ac:dyDescent="0.25"/>
    <row r="824" s="122" customFormat="1" x14ac:dyDescent="0.25"/>
    <row r="825" s="122" customFormat="1" x14ac:dyDescent="0.25"/>
    <row r="826" s="122" customFormat="1" x14ac:dyDescent="0.25"/>
    <row r="827" s="122" customFormat="1" x14ac:dyDescent="0.25"/>
    <row r="828" s="122" customFormat="1" x14ac:dyDescent="0.25"/>
    <row r="829" s="122" customFormat="1" x14ac:dyDescent="0.25"/>
    <row r="830" s="122" customFormat="1" x14ac:dyDescent="0.25"/>
    <row r="831" s="122" customFormat="1" x14ac:dyDescent="0.25"/>
    <row r="832" s="122" customFormat="1" x14ac:dyDescent="0.25"/>
    <row r="833" s="122" customFormat="1" x14ac:dyDescent="0.25"/>
    <row r="834" s="122" customFormat="1" x14ac:dyDescent="0.25"/>
    <row r="835" s="122" customFormat="1" x14ac:dyDescent="0.25"/>
    <row r="836" s="122" customFormat="1" x14ac:dyDescent="0.25"/>
    <row r="837" s="122" customFormat="1" x14ac:dyDescent="0.25"/>
    <row r="838" s="122" customFormat="1" x14ac:dyDescent="0.25"/>
    <row r="839" s="122" customFormat="1" x14ac:dyDescent="0.25"/>
    <row r="840" s="122" customFormat="1" x14ac:dyDescent="0.25"/>
    <row r="841" s="122" customFormat="1" x14ac:dyDescent="0.25"/>
    <row r="842" s="122" customFormat="1" x14ac:dyDescent="0.25"/>
    <row r="843" s="122" customFormat="1" x14ac:dyDescent="0.25"/>
    <row r="844" s="122" customFormat="1" x14ac:dyDescent="0.25"/>
    <row r="845" s="122" customFormat="1" x14ac:dyDescent="0.25"/>
    <row r="846" s="122" customFormat="1" x14ac:dyDescent="0.25"/>
    <row r="847" s="122" customFormat="1" x14ac:dyDescent="0.25"/>
    <row r="848" s="122" customFormat="1" x14ac:dyDescent="0.25"/>
    <row r="849" s="122" customFormat="1" x14ac:dyDescent="0.25"/>
    <row r="850" s="122" customFormat="1" x14ac:dyDescent="0.25"/>
    <row r="851" s="122" customFormat="1" x14ac:dyDescent="0.25"/>
    <row r="852" s="122" customFormat="1" x14ac:dyDescent="0.25"/>
    <row r="853" s="122" customFormat="1" x14ac:dyDescent="0.25"/>
    <row r="854" s="122" customFormat="1" x14ac:dyDescent="0.25"/>
    <row r="855" s="122" customFormat="1" x14ac:dyDescent="0.25"/>
    <row r="856" s="122" customFormat="1" x14ac:dyDescent="0.25"/>
    <row r="857" s="122" customFormat="1" x14ac:dyDescent="0.25"/>
    <row r="858" s="122" customFormat="1" x14ac:dyDescent="0.25"/>
    <row r="859" s="122" customFormat="1" x14ac:dyDescent="0.25"/>
    <row r="860" s="122" customFormat="1" x14ac:dyDescent="0.25"/>
    <row r="861" s="122" customFormat="1" x14ac:dyDescent="0.25"/>
    <row r="862" s="122" customFormat="1" x14ac:dyDescent="0.25"/>
    <row r="863" s="122" customFormat="1" x14ac:dyDescent="0.25"/>
    <row r="864" s="122" customFormat="1" x14ac:dyDescent="0.25"/>
    <row r="865" s="122" customFormat="1" x14ac:dyDescent="0.25"/>
    <row r="866" s="122" customFormat="1" x14ac:dyDescent="0.25"/>
    <row r="867" s="122" customFormat="1" x14ac:dyDescent="0.25"/>
    <row r="868" s="122" customFormat="1" x14ac:dyDescent="0.25"/>
    <row r="869" s="122" customFormat="1" x14ac:dyDescent="0.25"/>
    <row r="870" s="122" customFormat="1" x14ac:dyDescent="0.25"/>
    <row r="871" s="122" customFormat="1" x14ac:dyDescent="0.25"/>
    <row r="872" s="122" customFormat="1" x14ac:dyDescent="0.25"/>
    <row r="873" s="122" customFormat="1" x14ac:dyDescent="0.25"/>
    <row r="874" s="122" customFormat="1" x14ac:dyDescent="0.25"/>
    <row r="875" s="122" customFormat="1" x14ac:dyDescent="0.25"/>
    <row r="876" s="122" customFormat="1" x14ac:dyDescent="0.25"/>
    <row r="877" s="122" customFormat="1" x14ac:dyDescent="0.25"/>
    <row r="878" s="122" customFormat="1" x14ac:dyDescent="0.25"/>
    <row r="879" s="122" customFormat="1" x14ac:dyDescent="0.25"/>
    <row r="880" s="122" customFormat="1" x14ac:dyDescent="0.25"/>
    <row r="881" s="122" customFormat="1" x14ac:dyDescent="0.25"/>
    <row r="882" s="122" customFormat="1" x14ac:dyDescent="0.25"/>
    <row r="883" s="122" customFormat="1" x14ac:dyDescent="0.25"/>
    <row r="884" s="122" customFormat="1" x14ac:dyDescent="0.25"/>
    <row r="885" s="122" customFormat="1" x14ac:dyDescent="0.25"/>
    <row r="886" s="122" customFormat="1" x14ac:dyDescent="0.25"/>
    <row r="887" s="122" customFormat="1" x14ac:dyDescent="0.25"/>
    <row r="888" s="122" customFormat="1" x14ac:dyDescent="0.25"/>
    <row r="889" s="122" customFormat="1" x14ac:dyDescent="0.25"/>
    <row r="890" s="122" customFormat="1" x14ac:dyDescent="0.25"/>
    <row r="891" s="122" customFormat="1" x14ac:dyDescent="0.25"/>
    <row r="892" s="122" customFormat="1" x14ac:dyDescent="0.25"/>
    <row r="893" s="122" customFormat="1" x14ac:dyDescent="0.25"/>
    <row r="894" s="122" customFormat="1" x14ac:dyDescent="0.25"/>
    <row r="895" s="122" customFormat="1" x14ac:dyDescent="0.25"/>
    <row r="896" s="122" customFormat="1" x14ac:dyDescent="0.25"/>
    <row r="897" s="122" customFormat="1" x14ac:dyDescent="0.25"/>
    <row r="898" s="122" customFormat="1" x14ac:dyDescent="0.25"/>
    <row r="899" s="122" customFormat="1" x14ac:dyDescent="0.25"/>
    <row r="900" s="122" customFormat="1" x14ac:dyDescent="0.25"/>
    <row r="901" s="122" customFormat="1" x14ac:dyDescent="0.25"/>
    <row r="902" s="122" customFormat="1" x14ac:dyDescent="0.25"/>
    <row r="903" s="122" customFormat="1" x14ac:dyDescent="0.25"/>
    <row r="904" s="122" customFormat="1" x14ac:dyDescent="0.25"/>
    <row r="905" s="122" customFormat="1" x14ac:dyDescent="0.25"/>
    <row r="906" s="122" customFormat="1" x14ac:dyDescent="0.25"/>
    <row r="907" s="122" customFormat="1" x14ac:dyDescent="0.25"/>
    <row r="908" s="122" customFormat="1" x14ac:dyDescent="0.25"/>
    <row r="909" s="122" customFormat="1" x14ac:dyDescent="0.25"/>
    <row r="910" s="122" customFormat="1" x14ac:dyDescent="0.25"/>
    <row r="911" s="122" customFormat="1" x14ac:dyDescent="0.25"/>
    <row r="912" s="122" customFormat="1" x14ac:dyDescent="0.25"/>
    <row r="913" s="122" customFormat="1" x14ac:dyDescent="0.25"/>
    <row r="914" s="122" customFormat="1" x14ac:dyDescent="0.25"/>
    <row r="915" s="122" customFormat="1" x14ac:dyDescent="0.25"/>
    <row r="916" s="122" customFormat="1" x14ac:dyDescent="0.25"/>
    <row r="917" s="122" customFormat="1" x14ac:dyDescent="0.25"/>
    <row r="918" s="122" customFormat="1" x14ac:dyDescent="0.25"/>
    <row r="919" s="122" customFormat="1" x14ac:dyDescent="0.25"/>
    <row r="920" s="122" customFormat="1" x14ac:dyDescent="0.25"/>
    <row r="921" s="122" customFormat="1" x14ac:dyDescent="0.25"/>
    <row r="922" s="122" customFormat="1" x14ac:dyDescent="0.25"/>
    <row r="923" s="122" customFormat="1" x14ac:dyDescent="0.25"/>
    <row r="924" s="122" customFormat="1" x14ac:dyDescent="0.25"/>
    <row r="925" s="122" customFormat="1" x14ac:dyDescent="0.25"/>
    <row r="926" s="122" customFormat="1" x14ac:dyDescent="0.25"/>
    <row r="927" s="122" customFormat="1" x14ac:dyDescent="0.25"/>
    <row r="928" s="122" customFormat="1" x14ac:dyDescent="0.25"/>
    <row r="929" s="122" customFormat="1" x14ac:dyDescent="0.25"/>
    <row r="930" s="122" customFormat="1" x14ac:dyDescent="0.25"/>
    <row r="931" s="122" customFormat="1" x14ac:dyDescent="0.25"/>
    <row r="932" s="122" customFormat="1" x14ac:dyDescent="0.25"/>
    <row r="933" s="122" customFormat="1" x14ac:dyDescent="0.25"/>
    <row r="934" s="122" customFormat="1" x14ac:dyDescent="0.25"/>
    <row r="935" s="122" customFormat="1" x14ac:dyDescent="0.25"/>
    <row r="936" s="122" customFormat="1" x14ac:dyDescent="0.25"/>
    <row r="937" s="122" customFormat="1" x14ac:dyDescent="0.25"/>
    <row r="938" s="122" customFormat="1" x14ac:dyDescent="0.25"/>
    <row r="939" s="122" customFormat="1" x14ac:dyDescent="0.25"/>
    <row r="940" s="122" customFormat="1" x14ac:dyDescent="0.25"/>
    <row r="941" s="122" customFormat="1" x14ac:dyDescent="0.25"/>
    <row r="942" s="122" customFormat="1" x14ac:dyDescent="0.25"/>
    <row r="943" s="122" customFormat="1" x14ac:dyDescent="0.25"/>
    <row r="944" s="122" customFormat="1" x14ac:dyDescent="0.25"/>
    <row r="945" s="122" customFormat="1" x14ac:dyDescent="0.25"/>
    <row r="946" s="122" customFormat="1" x14ac:dyDescent="0.25"/>
    <row r="947" s="122" customFormat="1" x14ac:dyDescent="0.25"/>
    <row r="948" s="122" customFormat="1" x14ac:dyDescent="0.25"/>
    <row r="949" s="122" customFormat="1" x14ac:dyDescent="0.25"/>
    <row r="950" s="122" customFormat="1" x14ac:dyDescent="0.25"/>
    <row r="951" s="122" customFormat="1" x14ac:dyDescent="0.25"/>
    <row r="952" s="122" customFormat="1" x14ac:dyDescent="0.25"/>
    <row r="953" s="122" customFormat="1" x14ac:dyDescent="0.25"/>
    <row r="954" s="122" customFormat="1" x14ac:dyDescent="0.25"/>
    <row r="955" s="122" customFormat="1" x14ac:dyDescent="0.25"/>
    <row r="956" s="122" customFormat="1" x14ac:dyDescent="0.25"/>
    <row r="957" s="122" customFormat="1" x14ac:dyDescent="0.25"/>
    <row r="958" s="122" customFormat="1" x14ac:dyDescent="0.25"/>
    <row r="959" s="122" customFormat="1" x14ac:dyDescent="0.25"/>
    <row r="960" s="122" customFormat="1" x14ac:dyDescent="0.25"/>
    <row r="961" s="122" customFormat="1" x14ac:dyDescent="0.25"/>
    <row r="962" s="122" customFormat="1" x14ac:dyDescent="0.25"/>
    <row r="963" s="122" customFormat="1" x14ac:dyDescent="0.25"/>
    <row r="964" s="122" customFormat="1" x14ac:dyDescent="0.25"/>
    <row r="965" s="122" customFormat="1" x14ac:dyDescent="0.25"/>
    <row r="966" s="122" customFormat="1" x14ac:dyDescent="0.25"/>
    <row r="967" s="122" customFormat="1" x14ac:dyDescent="0.25"/>
    <row r="968" s="122" customFormat="1" x14ac:dyDescent="0.25"/>
    <row r="969" s="122" customFormat="1" x14ac:dyDescent="0.25"/>
    <row r="970" s="122" customFormat="1" x14ac:dyDescent="0.25"/>
    <row r="971" s="122" customFormat="1" x14ac:dyDescent="0.25"/>
    <row r="972" s="122" customFormat="1" x14ac:dyDescent="0.25"/>
    <row r="973" s="122" customFormat="1" x14ac:dyDescent="0.25"/>
    <row r="974" s="122" customFormat="1" x14ac:dyDescent="0.25"/>
    <row r="975" s="122" customFormat="1" x14ac:dyDescent="0.25"/>
    <row r="976" s="122" customFormat="1" x14ac:dyDescent="0.25"/>
    <row r="977" s="122" customFormat="1" x14ac:dyDescent="0.25"/>
    <row r="978" s="122" customFormat="1" x14ac:dyDescent="0.25"/>
    <row r="979" s="122" customFormat="1" x14ac:dyDescent="0.25"/>
    <row r="980" s="122" customFormat="1" x14ac:dyDescent="0.25"/>
    <row r="981" s="122" customFormat="1" x14ac:dyDescent="0.25"/>
    <row r="982" s="122" customFormat="1" x14ac:dyDescent="0.25"/>
    <row r="983" s="122" customFormat="1" x14ac:dyDescent="0.25"/>
    <row r="984" s="122" customFormat="1" x14ac:dyDescent="0.25"/>
    <row r="985" s="122" customFormat="1" x14ac:dyDescent="0.25"/>
    <row r="986" s="122" customFormat="1" x14ac:dyDescent="0.25"/>
    <row r="987" s="122" customFormat="1" x14ac:dyDescent="0.25"/>
    <row r="988" s="122" customFormat="1" x14ac:dyDescent="0.25"/>
    <row r="989" s="122" customFormat="1" x14ac:dyDescent="0.25"/>
    <row r="990" s="122" customFormat="1" x14ac:dyDescent="0.25"/>
    <row r="991" s="122" customFormat="1" x14ac:dyDescent="0.25"/>
    <row r="992" s="122" customFormat="1" x14ac:dyDescent="0.25"/>
    <row r="993" s="122" customFormat="1" x14ac:dyDescent="0.25"/>
    <row r="994" s="122" customFormat="1" x14ac:dyDescent="0.25"/>
    <row r="995" s="122" customFormat="1" x14ac:dyDescent="0.25"/>
    <row r="996" s="122" customFormat="1" x14ac:dyDescent="0.25"/>
    <row r="997" s="122" customFormat="1" x14ac:dyDescent="0.25"/>
    <row r="998" s="122" customFormat="1" x14ac:dyDescent="0.25"/>
    <row r="999" s="122" customFormat="1" x14ac:dyDescent="0.25"/>
    <row r="1000" s="122" customFormat="1" x14ac:dyDescent="0.25"/>
    <row r="1001" s="122" customFormat="1" x14ac:dyDescent="0.25"/>
    <row r="1002" s="122" customFormat="1" x14ac:dyDescent="0.25"/>
    <row r="1003" s="122" customFormat="1" x14ac:dyDescent="0.25"/>
    <row r="1004" s="122" customFormat="1" x14ac:dyDescent="0.25"/>
    <row r="1005" s="122" customFormat="1" x14ac:dyDescent="0.25"/>
    <row r="1006" s="122" customFormat="1" x14ac:dyDescent="0.25"/>
    <row r="1007" s="122" customFormat="1" x14ac:dyDescent="0.25"/>
    <row r="1008" s="122" customFormat="1" x14ac:dyDescent="0.25"/>
    <row r="1009" s="122" customFormat="1" x14ac:dyDescent="0.25"/>
    <row r="1010" s="122" customFormat="1" x14ac:dyDescent="0.25"/>
    <row r="1011" s="122" customFormat="1" x14ac:dyDescent="0.25"/>
    <row r="1012" s="122" customFormat="1" x14ac:dyDescent="0.25"/>
    <row r="1013" s="122" customFormat="1" x14ac:dyDescent="0.25"/>
    <row r="1014" s="122" customFormat="1" x14ac:dyDescent="0.25"/>
    <row r="1015" s="122" customFormat="1" x14ac:dyDescent="0.25"/>
    <row r="1016" s="122" customFormat="1" x14ac:dyDescent="0.25"/>
    <row r="1017" s="122" customFormat="1" x14ac:dyDescent="0.25"/>
    <row r="1018" s="122" customFormat="1" x14ac:dyDescent="0.25"/>
    <row r="1019" s="122" customFormat="1" x14ac:dyDescent="0.25"/>
    <row r="1020" s="122" customFormat="1" x14ac:dyDescent="0.25"/>
    <row r="1021" s="122" customFormat="1" x14ac:dyDescent="0.25"/>
    <row r="1022" s="122" customFormat="1" x14ac:dyDescent="0.25"/>
    <row r="1023" s="122" customFormat="1" x14ac:dyDescent="0.25"/>
    <row r="1024" s="122" customFormat="1" x14ac:dyDescent="0.25"/>
    <row r="1025" s="122" customFormat="1" x14ac:dyDescent="0.25"/>
    <row r="1026" s="122" customFormat="1" x14ac:dyDescent="0.25"/>
    <row r="1027" s="122" customFormat="1" x14ac:dyDescent="0.25"/>
    <row r="1028" s="122" customFormat="1" x14ac:dyDescent="0.25"/>
    <row r="1029" s="122" customFormat="1" x14ac:dyDescent="0.25"/>
    <row r="1030" s="122" customFormat="1" x14ac:dyDescent="0.25"/>
    <row r="1031" s="122" customFormat="1" x14ac:dyDescent="0.25"/>
    <row r="1032" s="122" customFormat="1" x14ac:dyDescent="0.25"/>
    <row r="1033" s="122" customFormat="1" x14ac:dyDescent="0.25"/>
    <row r="1034" s="122" customFormat="1" x14ac:dyDescent="0.25"/>
    <row r="1035" s="122" customFormat="1" x14ac:dyDescent="0.25"/>
    <row r="1036" s="122" customFormat="1" x14ac:dyDescent="0.25"/>
    <row r="1037" s="122" customFormat="1" x14ac:dyDescent="0.25"/>
    <row r="1038" s="122" customFormat="1" x14ac:dyDescent="0.25"/>
    <row r="1039" s="122" customFormat="1" x14ac:dyDescent="0.25"/>
    <row r="1040" s="122" customFormat="1" x14ac:dyDescent="0.25"/>
    <row r="1041" s="122" customFormat="1" x14ac:dyDescent="0.25"/>
    <row r="1042" s="122" customFormat="1" x14ac:dyDescent="0.25"/>
    <row r="1043" s="122" customFormat="1" x14ac:dyDescent="0.25"/>
    <row r="1044" s="122" customFormat="1" x14ac:dyDescent="0.25"/>
    <row r="1045" s="122" customFormat="1" x14ac:dyDescent="0.25"/>
    <row r="1046" s="122" customFormat="1" x14ac:dyDescent="0.25"/>
    <row r="1047" s="122" customFormat="1" x14ac:dyDescent="0.25"/>
    <row r="1048" s="122" customFormat="1" x14ac:dyDescent="0.25"/>
    <row r="1049" s="122" customFormat="1" x14ac:dyDescent="0.25"/>
    <row r="1050" s="122" customFormat="1" x14ac:dyDescent="0.25"/>
    <row r="1051" s="122" customFormat="1" x14ac:dyDescent="0.25"/>
    <row r="1052" s="122" customFormat="1" x14ac:dyDescent="0.25"/>
    <row r="1053" s="122" customFormat="1" x14ac:dyDescent="0.25"/>
    <row r="1054" s="122" customFormat="1" x14ac:dyDescent="0.25"/>
    <row r="1055" s="122" customFormat="1" x14ac:dyDescent="0.25"/>
    <row r="1056" s="122" customFormat="1" x14ac:dyDescent="0.25"/>
    <row r="1057" s="122" customFormat="1" x14ac:dyDescent="0.25"/>
    <row r="1058" s="122" customFormat="1" x14ac:dyDescent="0.25"/>
    <row r="1059" s="122" customFormat="1" x14ac:dyDescent="0.25"/>
    <row r="1060" s="122" customFormat="1" x14ac:dyDescent="0.25"/>
    <row r="1061" s="122" customFormat="1" x14ac:dyDescent="0.25"/>
    <row r="1062" s="122" customFormat="1" x14ac:dyDescent="0.25"/>
    <row r="1063" s="122" customFormat="1" x14ac:dyDescent="0.25"/>
    <row r="1064" s="122" customFormat="1" x14ac:dyDescent="0.25"/>
    <row r="1065" s="122" customFormat="1" x14ac:dyDescent="0.25"/>
    <row r="1066" s="122" customFormat="1" x14ac:dyDescent="0.25"/>
    <row r="1067" s="122" customFormat="1" x14ac:dyDescent="0.25"/>
    <row r="1068" s="122" customFormat="1" x14ac:dyDescent="0.25"/>
    <row r="1069" s="122" customFormat="1" x14ac:dyDescent="0.25"/>
    <row r="1070" s="122" customFormat="1" x14ac:dyDescent="0.25"/>
    <row r="1071" s="122" customFormat="1" x14ac:dyDescent="0.25"/>
    <row r="1072" s="122" customFormat="1" x14ac:dyDescent="0.25"/>
    <row r="1073" s="122" customFormat="1" x14ac:dyDescent="0.25"/>
    <row r="1074" s="122" customFormat="1" x14ac:dyDescent="0.25"/>
    <row r="1075" s="122" customFormat="1" x14ac:dyDescent="0.25"/>
    <row r="1076" s="122" customFormat="1" x14ac:dyDescent="0.25"/>
    <row r="1077" s="122" customFormat="1" x14ac:dyDescent="0.25"/>
    <row r="1078" s="122" customFormat="1" x14ac:dyDescent="0.25"/>
    <row r="1079" s="122" customFormat="1" x14ac:dyDescent="0.25"/>
    <row r="1080" s="122" customFormat="1" x14ac:dyDescent="0.25"/>
    <row r="1081" s="122" customFormat="1" x14ac:dyDescent="0.25"/>
    <row r="1082" s="122" customFormat="1" x14ac:dyDescent="0.25"/>
    <row r="1083" s="122" customFormat="1" x14ac:dyDescent="0.25"/>
    <row r="1084" s="122" customFormat="1" x14ac:dyDescent="0.25"/>
    <row r="1085" s="122" customFormat="1" x14ac:dyDescent="0.25"/>
    <row r="1086" s="122" customFormat="1" x14ac:dyDescent="0.25"/>
    <row r="1087" s="122" customFormat="1" x14ac:dyDescent="0.25"/>
    <row r="1088" s="122" customFormat="1" x14ac:dyDescent="0.25"/>
    <row r="1089" s="122" customFormat="1" x14ac:dyDescent="0.25"/>
    <row r="1090" s="122" customFormat="1" x14ac:dyDescent="0.25"/>
    <row r="1091" s="122" customFormat="1" x14ac:dyDescent="0.25"/>
    <row r="1092" s="122" customFormat="1" x14ac:dyDescent="0.25"/>
    <row r="1093" s="122" customFormat="1" x14ac:dyDescent="0.25"/>
    <row r="1094" s="122" customFormat="1" x14ac:dyDescent="0.25"/>
    <row r="1095" s="122" customFormat="1" x14ac:dyDescent="0.25"/>
    <row r="1096" s="122" customFormat="1" x14ac:dyDescent="0.25"/>
    <row r="1097" s="122" customFormat="1" x14ac:dyDescent="0.25"/>
    <row r="1098" s="122" customFormat="1" x14ac:dyDescent="0.25"/>
    <row r="1099" s="122" customFormat="1" x14ac:dyDescent="0.25"/>
    <row r="1100" s="122" customFormat="1" x14ac:dyDescent="0.25"/>
    <row r="1101" s="122" customFormat="1" x14ac:dyDescent="0.25"/>
    <row r="1102" s="122" customFormat="1" x14ac:dyDescent="0.25"/>
    <row r="1103" s="122" customFormat="1" x14ac:dyDescent="0.25"/>
    <row r="1104" s="122" customFormat="1" x14ac:dyDescent="0.25"/>
    <row r="1105" s="122" customFormat="1" x14ac:dyDescent="0.25"/>
    <row r="1106" s="122" customFormat="1" x14ac:dyDescent="0.25"/>
    <row r="1107" s="122" customFormat="1" x14ac:dyDescent="0.25"/>
    <row r="1108" s="122" customFormat="1" x14ac:dyDescent="0.25"/>
    <row r="1109" s="122" customFormat="1" x14ac:dyDescent="0.25"/>
    <row r="1110" s="122" customFormat="1" x14ac:dyDescent="0.25"/>
    <row r="1111" s="122" customFormat="1" x14ac:dyDescent="0.25"/>
    <row r="1112" s="122" customFormat="1" x14ac:dyDescent="0.25"/>
    <row r="1113" s="122" customFormat="1" x14ac:dyDescent="0.25"/>
    <row r="1114" s="122" customFormat="1" x14ac:dyDescent="0.25"/>
    <row r="1115" s="122" customFormat="1" x14ac:dyDescent="0.25"/>
    <row r="1116" s="122" customFormat="1" x14ac:dyDescent="0.25"/>
    <row r="1117" s="122" customFormat="1" x14ac:dyDescent="0.25"/>
    <row r="1118" s="122" customFormat="1" x14ac:dyDescent="0.25"/>
    <row r="1119" s="122" customFormat="1" x14ac:dyDescent="0.25"/>
    <row r="1120" s="122" customFormat="1" x14ac:dyDescent="0.25"/>
    <row r="1121" s="122" customFormat="1" x14ac:dyDescent="0.25"/>
    <row r="1122" s="122" customFormat="1" x14ac:dyDescent="0.25"/>
    <row r="1123" s="122" customFormat="1" x14ac:dyDescent="0.25"/>
    <row r="1124" s="122" customFormat="1" x14ac:dyDescent="0.25"/>
    <row r="1125" s="122" customFormat="1" x14ac:dyDescent="0.25"/>
    <row r="1126" s="122" customFormat="1" x14ac:dyDescent="0.25"/>
    <row r="1127" s="122" customFormat="1" x14ac:dyDescent="0.25"/>
    <row r="1128" s="122" customFormat="1" x14ac:dyDescent="0.25"/>
    <row r="1129" s="122" customFormat="1" x14ac:dyDescent="0.25"/>
    <row r="1130" s="122" customFormat="1" x14ac:dyDescent="0.25"/>
    <row r="1131" s="122" customFormat="1" x14ac:dyDescent="0.25"/>
    <row r="1132" s="122" customFormat="1" x14ac:dyDescent="0.25"/>
    <row r="1133" s="122" customFormat="1" x14ac:dyDescent="0.25"/>
    <row r="1134" s="122" customFormat="1" x14ac:dyDescent="0.25"/>
    <row r="1135" s="122" customFormat="1" x14ac:dyDescent="0.25"/>
    <row r="1136" s="122" customFormat="1" x14ac:dyDescent="0.25"/>
    <row r="1137" s="122" customFormat="1" x14ac:dyDescent="0.25"/>
    <row r="1138" s="122" customFormat="1" x14ac:dyDescent="0.25"/>
    <row r="1139" s="122" customFormat="1" x14ac:dyDescent="0.25"/>
    <row r="1140" s="122" customFormat="1" x14ac:dyDescent="0.25"/>
    <row r="1141" s="122" customFormat="1" x14ac:dyDescent="0.25"/>
    <row r="1142" s="122" customFormat="1" x14ac:dyDescent="0.25"/>
    <row r="1143" s="122" customFormat="1" x14ac:dyDescent="0.25"/>
    <row r="1144" s="122" customFormat="1" x14ac:dyDescent="0.25"/>
    <row r="1145" s="122" customFormat="1" x14ac:dyDescent="0.25"/>
    <row r="1146" s="122" customFormat="1" x14ac:dyDescent="0.25"/>
    <row r="1147" s="122" customFormat="1" x14ac:dyDescent="0.25"/>
    <row r="1148" s="122" customFormat="1" x14ac:dyDescent="0.25"/>
    <row r="1149" s="122" customFormat="1" x14ac:dyDescent="0.25"/>
    <row r="1150" s="122" customFormat="1" x14ac:dyDescent="0.25"/>
    <row r="1151" s="122" customFormat="1" x14ac:dyDescent="0.25"/>
    <row r="1152" s="122" customFormat="1" x14ac:dyDescent="0.25"/>
    <row r="1153" s="122" customFormat="1" x14ac:dyDescent="0.25"/>
    <row r="1154" s="122" customFormat="1" x14ac:dyDescent="0.25"/>
    <row r="1155" s="122" customFormat="1" x14ac:dyDescent="0.25"/>
    <row r="1156" s="122" customFormat="1" x14ac:dyDescent="0.25"/>
    <row r="1157" s="122" customFormat="1" x14ac:dyDescent="0.25"/>
    <row r="1158" s="122" customFormat="1" x14ac:dyDescent="0.25"/>
    <row r="1159" s="122" customFormat="1" x14ac:dyDescent="0.25"/>
    <row r="1160" s="122" customFormat="1" x14ac:dyDescent="0.25"/>
    <row r="1161" s="122" customFormat="1" x14ac:dyDescent="0.25"/>
    <row r="1162" s="122" customFormat="1" x14ac:dyDescent="0.25"/>
    <row r="1163" s="122" customFormat="1" x14ac:dyDescent="0.25"/>
    <row r="1164" s="122" customFormat="1" x14ac:dyDescent="0.25"/>
    <row r="1165" s="122" customFormat="1" x14ac:dyDescent="0.25"/>
    <row r="1166" s="122" customFormat="1" x14ac:dyDescent="0.25"/>
    <row r="1167" s="122" customFormat="1" x14ac:dyDescent="0.25"/>
    <row r="1168" s="122" customFormat="1" x14ac:dyDescent="0.25"/>
    <row r="1169" s="122" customFormat="1" x14ac:dyDescent="0.25"/>
    <row r="1170" s="122" customFormat="1" x14ac:dyDescent="0.25"/>
    <row r="1171" s="122" customFormat="1" x14ac:dyDescent="0.25"/>
    <row r="1172" s="122" customFormat="1" x14ac:dyDescent="0.25"/>
    <row r="1173" s="122" customFormat="1" x14ac:dyDescent="0.25"/>
    <row r="1174" s="122" customFormat="1" x14ac:dyDescent="0.25"/>
    <row r="1175" s="122" customFormat="1" x14ac:dyDescent="0.25"/>
    <row r="1176" s="122" customFormat="1" x14ac:dyDescent="0.25"/>
    <row r="1177" s="122" customFormat="1" x14ac:dyDescent="0.25"/>
    <row r="1178" s="122" customFormat="1" x14ac:dyDescent="0.25"/>
    <row r="1179" s="122" customFormat="1" x14ac:dyDescent="0.25"/>
    <row r="1180" s="122" customFormat="1" x14ac:dyDescent="0.25"/>
    <row r="1181" s="122" customFormat="1" x14ac:dyDescent="0.25"/>
    <row r="1182" s="122" customFormat="1" x14ac:dyDescent="0.25"/>
    <row r="1183" s="122" customFormat="1" x14ac:dyDescent="0.25"/>
    <row r="1184" s="122" customFormat="1" x14ac:dyDescent="0.25"/>
    <row r="1185" s="122" customFormat="1" x14ac:dyDescent="0.25"/>
    <row r="1186" s="122" customFormat="1" x14ac:dyDescent="0.25"/>
    <row r="1187" s="122" customFormat="1" x14ac:dyDescent="0.25"/>
    <row r="1188" s="122" customFormat="1" x14ac:dyDescent="0.25"/>
    <row r="1189" s="122" customFormat="1" x14ac:dyDescent="0.25"/>
    <row r="1190" s="122" customFormat="1" x14ac:dyDescent="0.25"/>
    <row r="1191" s="122" customFormat="1" x14ac:dyDescent="0.25"/>
    <row r="1192" s="122" customFormat="1" x14ac:dyDescent="0.25"/>
    <row r="1193" s="122" customFormat="1" x14ac:dyDescent="0.25"/>
    <row r="1194" s="122" customFormat="1" x14ac:dyDescent="0.25"/>
    <row r="1195" s="122" customFormat="1" x14ac:dyDescent="0.25"/>
    <row r="1196" s="122" customFormat="1" x14ac:dyDescent="0.25"/>
    <row r="1197" s="122" customFormat="1" x14ac:dyDescent="0.25"/>
    <row r="1198" s="122" customFormat="1" x14ac:dyDescent="0.25"/>
    <row r="1199" s="122" customFormat="1" x14ac:dyDescent="0.25"/>
    <row r="1200" s="122" customFormat="1" x14ac:dyDescent="0.25"/>
    <row r="1201" s="122" customFormat="1" x14ac:dyDescent="0.25"/>
    <row r="1202" s="122" customFormat="1" x14ac:dyDescent="0.25"/>
    <row r="1203" s="122" customFormat="1" x14ac:dyDescent="0.25"/>
    <row r="1204" s="122" customFormat="1" x14ac:dyDescent="0.25"/>
    <row r="1205" s="122" customFormat="1" x14ac:dyDescent="0.25"/>
    <row r="1206" s="122" customFormat="1" x14ac:dyDescent="0.25"/>
    <row r="1207" s="122" customFormat="1" x14ac:dyDescent="0.25"/>
    <row r="1208" s="122" customFormat="1" x14ac:dyDescent="0.25"/>
    <row r="1209" s="122" customFormat="1" x14ac:dyDescent="0.25"/>
    <row r="1210" s="122" customFormat="1" x14ac:dyDescent="0.25"/>
    <row r="1211" s="122" customFormat="1" x14ac:dyDescent="0.25"/>
    <row r="1212" s="122" customFormat="1" x14ac:dyDescent="0.25"/>
    <row r="1213" s="122" customFormat="1" x14ac:dyDescent="0.25"/>
    <row r="1214" s="122" customFormat="1" x14ac:dyDescent="0.25"/>
    <row r="1215" s="122" customFormat="1" x14ac:dyDescent="0.25"/>
    <row r="1216" s="122" customFormat="1" x14ac:dyDescent="0.25"/>
    <row r="1217" s="122" customFormat="1" x14ac:dyDescent="0.25"/>
    <row r="1218" s="122" customFormat="1" x14ac:dyDescent="0.25"/>
    <row r="1219" s="122" customFormat="1" x14ac:dyDescent="0.25"/>
    <row r="1220" s="122" customFormat="1" x14ac:dyDescent="0.25"/>
    <row r="1221" s="122" customFormat="1" x14ac:dyDescent="0.25"/>
    <row r="1222" s="122" customFormat="1" x14ac:dyDescent="0.25"/>
    <row r="1223" s="122" customFormat="1" x14ac:dyDescent="0.25"/>
    <row r="1224" s="122" customFormat="1" x14ac:dyDescent="0.25"/>
    <row r="1225" s="122" customFormat="1" x14ac:dyDescent="0.25"/>
    <row r="1226" s="122" customFormat="1" x14ac:dyDescent="0.25"/>
    <row r="1227" s="122" customFormat="1" x14ac:dyDescent="0.25"/>
    <row r="1228" s="122" customFormat="1" x14ac:dyDescent="0.25"/>
    <row r="1229" s="122" customFormat="1" x14ac:dyDescent="0.25"/>
    <row r="1230" s="122" customFormat="1" x14ac:dyDescent="0.25"/>
    <row r="1231" s="122" customFormat="1" x14ac:dyDescent="0.25"/>
    <row r="1232" s="122" customFormat="1" x14ac:dyDescent="0.25"/>
    <row r="1233" s="122" customFormat="1" x14ac:dyDescent="0.25"/>
    <row r="1234" s="122" customFormat="1" x14ac:dyDescent="0.25"/>
    <row r="1235" s="122" customFormat="1" x14ac:dyDescent="0.25"/>
    <row r="1236" s="122" customFormat="1" x14ac:dyDescent="0.25"/>
    <row r="1237" s="122" customFormat="1" x14ac:dyDescent="0.25"/>
    <row r="1238" s="122" customFormat="1" x14ac:dyDescent="0.25"/>
    <row r="1239" s="122" customFormat="1" x14ac:dyDescent="0.25"/>
    <row r="1240" s="122" customFormat="1" x14ac:dyDescent="0.25"/>
    <row r="1241" s="122" customFormat="1" x14ac:dyDescent="0.25"/>
    <row r="1242" s="122" customFormat="1" x14ac:dyDescent="0.25"/>
    <row r="1243" s="122" customFormat="1" x14ac:dyDescent="0.25"/>
    <row r="1244" s="122" customFormat="1" x14ac:dyDescent="0.25"/>
    <row r="1245" s="122" customFormat="1" x14ac:dyDescent="0.25"/>
    <row r="1246" s="122" customFormat="1" x14ac:dyDescent="0.25"/>
    <row r="1247" s="122" customFormat="1" x14ac:dyDescent="0.25"/>
    <row r="1248" s="122" customFormat="1" x14ac:dyDescent="0.25"/>
    <row r="1249" s="122" customFormat="1" x14ac:dyDescent="0.25"/>
    <row r="1250" s="122" customFormat="1" x14ac:dyDescent="0.25"/>
    <row r="1251" s="122" customFormat="1" x14ac:dyDescent="0.25"/>
    <row r="1252" s="122" customFormat="1" x14ac:dyDescent="0.25"/>
    <row r="1253" s="122" customFormat="1" x14ac:dyDescent="0.25"/>
    <row r="1254" s="122" customFormat="1" x14ac:dyDescent="0.25"/>
    <row r="1255" s="122" customFormat="1" x14ac:dyDescent="0.25"/>
    <row r="1256" s="122" customFormat="1" x14ac:dyDescent="0.25"/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1" spans="62:64" x14ac:dyDescent="0.25">
      <c r="BJ1271" s="122"/>
      <c r="BK1271" s="122"/>
      <c r="BL1271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pans="62:64" x14ac:dyDescent="0.25">
      <c r="BJ1281" s="122"/>
      <c r="BK1281" s="122"/>
      <c r="BL1281" s="122"/>
    </row>
    <row r="1282" spans="62:64" x14ac:dyDescent="0.25">
      <c r="BJ1282" s="122"/>
      <c r="BK1282" s="122"/>
      <c r="BL1282" s="122"/>
    </row>
    <row r="1283" spans="62:64" x14ac:dyDescent="0.25">
      <c r="BJ1283" s="122"/>
      <c r="BK1283" s="122"/>
      <c r="BL1283" s="122"/>
    </row>
    <row r="1284" spans="62:64" x14ac:dyDescent="0.25">
      <c r="BJ1284" s="122"/>
      <c r="BK1284" s="122"/>
      <c r="BL1284" s="122"/>
    </row>
    <row r="1285" spans="62:64" x14ac:dyDescent="0.25">
      <c r="BJ1285" s="122"/>
      <c r="BK1285" s="122"/>
      <c r="BL1285" s="122"/>
    </row>
    <row r="1286" spans="62:64" x14ac:dyDescent="0.25">
      <c r="BJ1286" s="122"/>
      <c r="BK1286" s="122"/>
      <c r="BL1286" s="122"/>
    </row>
    <row r="1287" spans="62:64" x14ac:dyDescent="0.25">
      <c r="BJ1287" s="122"/>
      <c r="BK1287" s="122"/>
      <c r="BL1287" s="122"/>
    </row>
    <row r="1288" spans="62:64" x14ac:dyDescent="0.25">
      <c r="BJ1288" s="122"/>
      <c r="BK1288" s="122"/>
      <c r="BL1288" s="122"/>
    </row>
    <row r="1289" spans="62:64" x14ac:dyDescent="0.25">
      <c r="BJ1289" s="122"/>
      <c r="BK1289" s="122"/>
      <c r="BL1289" s="122"/>
    </row>
    <row r="1290" spans="62:64" x14ac:dyDescent="0.25">
      <c r="BJ1290" s="122"/>
      <c r="BK1290" s="122"/>
      <c r="BL1290" s="122"/>
    </row>
    <row r="1291" spans="62:64" x14ac:dyDescent="0.25">
      <c r="BJ1291" s="122"/>
      <c r="BK1291" s="122"/>
      <c r="BL1291" s="122"/>
    </row>
    <row r="1292" spans="62:64" x14ac:dyDescent="0.25">
      <c r="BJ1292" s="122"/>
      <c r="BK1292" s="122"/>
      <c r="BL1292" s="122"/>
    </row>
    <row r="1293" spans="62:64" x14ac:dyDescent="0.25">
      <c r="BJ1293" s="122"/>
      <c r="BK1293" s="122"/>
      <c r="BL1293" s="122"/>
    </row>
    <row r="1294" spans="62:64" x14ac:dyDescent="0.25">
      <c r="BJ1294" s="122"/>
      <c r="BK1294" s="122"/>
      <c r="BL1294" s="122"/>
    </row>
    <row r="1295" spans="62:64" x14ac:dyDescent="0.25">
      <c r="BJ1295" s="122"/>
      <c r="BK1295" s="122"/>
      <c r="BL1295" s="122"/>
    </row>
    <row r="1296" spans="62:64" x14ac:dyDescent="0.25">
      <c r="BJ1296" s="122"/>
      <c r="BK1296" s="122"/>
      <c r="BL1296" s="122"/>
    </row>
    <row r="1297" s="122" customFormat="1" x14ac:dyDescent="0.25"/>
    <row r="1298" s="122" customFormat="1" x14ac:dyDescent="0.25"/>
    <row r="1299" s="122" customFormat="1" x14ac:dyDescent="0.25"/>
    <row r="1300" s="122" customFormat="1" x14ac:dyDescent="0.25"/>
    <row r="1301" s="122" customFormat="1" x14ac:dyDescent="0.25"/>
    <row r="1302" s="122" customFormat="1" x14ac:dyDescent="0.25"/>
    <row r="1303" s="122" customFormat="1" x14ac:dyDescent="0.25"/>
    <row r="1304" s="122" customFormat="1" x14ac:dyDescent="0.25"/>
    <row r="1305" s="122" customFormat="1" x14ac:dyDescent="0.25"/>
    <row r="1306" s="122" customFormat="1" x14ac:dyDescent="0.25"/>
    <row r="1307" s="122" customFormat="1" x14ac:dyDescent="0.25"/>
    <row r="1308" s="122" customFormat="1" x14ac:dyDescent="0.25"/>
    <row r="1309" s="122" customFormat="1" x14ac:dyDescent="0.25"/>
    <row r="1310" s="122" customFormat="1" x14ac:dyDescent="0.25"/>
    <row r="1311" s="122" customFormat="1" x14ac:dyDescent="0.25"/>
    <row r="1312" s="122" customFormat="1" x14ac:dyDescent="0.25"/>
    <row r="1313" s="122" customFormat="1" x14ac:dyDescent="0.25"/>
    <row r="1314" s="122" customFormat="1" x14ac:dyDescent="0.25"/>
    <row r="1315" s="122" customFormat="1" x14ac:dyDescent="0.25"/>
    <row r="1316" s="122" customFormat="1" x14ac:dyDescent="0.25"/>
    <row r="1317" s="122" customFormat="1" x14ac:dyDescent="0.25"/>
    <row r="1318" s="122" customFormat="1" x14ac:dyDescent="0.25"/>
    <row r="1319" s="122" customFormat="1" x14ac:dyDescent="0.25"/>
    <row r="1320" s="122" customFormat="1" x14ac:dyDescent="0.25"/>
    <row r="1321" s="122" customFormat="1" x14ac:dyDescent="0.25"/>
    <row r="1322" s="122" customFormat="1" x14ac:dyDescent="0.25"/>
    <row r="1323" s="122" customFormat="1" x14ac:dyDescent="0.25"/>
    <row r="1324" s="122" customFormat="1" x14ac:dyDescent="0.25"/>
    <row r="1325" s="122" customFormat="1" x14ac:dyDescent="0.25"/>
    <row r="1326" s="122" customFormat="1" x14ac:dyDescent="0.25"/>
    <row r="1327" s="122" customFormat="1" x14ac:dyDescent="0.25"/>
    <row r="1328" s="122" customFormat="1" x14ac:dyDescent="0.25"/>
    <row r="1329" s="122" customFormat="1" x14ac:dyDescent="0.25"/>
    <row r="1330" s="122" customFormat="1" x14ac:dyDescent="0.25"/>
    <row r="1331" s="122" customFormat="1" x14ac:dyDescent="0.25"/>
    <row r="1332" s="122" customFormat="1" x14ac:dyDescent="0.25"/>
    <row r="1333" s="122" customFormat="1" x14ac:dyDescent="0.25"/>
    <row r="1334" s="122" customFormat="1" x14ac:dyDescent="0.25"/>
    <row r="1335" s="122" customFormat="1" x14ac:dyDescent="0.25"/>
    <row r="1336" s="122" customFormat="1" x14ac:dyDescent="0.25"/>
    <row r="1337" s="122" customFormat="1" x14ac:dyDescent="0.25"/>
    <row r="1338" s="122" customFormat="1" x14ac:dyDescent="0.25"/>
    <row r="1339" s="122" customFormat="1" x14ac:dyDescent="0.25"/>
    <row r="1340" s="122" customFormat="1" x14ac:dyDescent="0.25"/>
    <row r="1341" s="122" customFormat="1" x14ac:dyDescent="0.25"/>
    <row r="1342" s="122" customFormat="1" x14ac:dyDescent="0.25"/>
    <row r="1343" s="122" customFormat="1" x14ac:dyDescent="0.25"/>
    <row r="1344" s="122" customFormat="1" x14ac:dyDescent="0.25"/>
    <row r="1345" s="122" customFormat="1" x14ac:dyDescent="0.25"/>
    <row r="1346" s="122" customFormat="1" x14ac:dyDescent="0.25"/>
    <row r="1347" s="122" customFormat="1" x14ac:dyDescent="0.25"/>
    <row r="1348" s="122" customFormat="1" x14ac:dyDescent="0.25"/>
    <row r="1349" s="122" customFormat="1" x14ac:dyDescent="0.25"/>
    <row r="1350" s="122" customFormat="1" x14ac:dyDescent="0.25"/>
    <row r="1351" s="122" customFormat="1" x14ac:dyDescent="0.25"/>
    <row r="1352" s="122" customFormat="1" x14ac:dyDescent="0.25"/>
    <row r="1353" s="122" customFormat="1" x14ac:dyDescent="0.25"/>
    <row r="1354" s="122" customFormat="1" x14ac:dyDescent="0.25"/>
    <row r="1355" s="122" customFormat="1" x14ac:dyDescent="0.25"/>
    <row r="1356" s="122" customFormat="1" x14ac:dyDescent="0.25"/>
    <row r="1357" s="122" customFormat="1" x14ac:dyDescent="0.25"/>
    <row r="1358" s="122" customFormat="1" x14ac:dyDescent="0.25"/>
    <row r="1359" s="122" customFormat="1" x14ac:dyDescent="0.25"/>
    <row r="1360" s="122" customFormat="1" x14ac:dyDescent="0.25"/>
    <row r="1361" s="122" customFormat="1" x14ac:dyDescent="0.25"/>
    <row r="1362" s="122" customFormat="1" x14ac:dyDescent="0.25"/>
    <row r="1363" s="122" customFormat="1" x14ac:dyDescent="0.25"/>
    <row r="1364" s="122" customFormat="1" x14ac:dyDescent="0.25"/>
    <row r="1365" s="122" customFormat="1" x14ac:dyDescent="0.25"/>
    <row r="1366" s="122" customFormat="1" x14ac:dyDescent="0.25"/>
    <row r="1367" s="122" customFormat="1" x14ac:dyDescent="0.25"/>
    <row r="1368" s="122" customFormat="1" x14ac:dyDescent="0.25"/>
    <row r="1369" s="122" customFormat="1" x14ac:dyDescent="0.25"/>
    <row r="1370" s="122" customFormat="1" x14ac:dyDescent="0.25"/>
    <row r="1371" s="122" customFormat="1" x14ac:dyDescent="0.25"/>
    <row r="1372" s="122" customFormat="1" x14ac:dyDescent="0.25"/>
    <row r="1373" s="122" customFormat="1" x14ac:dyDescent="0.25"/>
    <row r="1374" s="122" customFormat="1" x14ac:dyDescent="0.25"/>
    <row r="1375" s="122" customFormat="1" x14ac:dyDescent="0.25"/>
    <row r="1376" s="122" customFormat="1" x14ac:dyDescent="0.25"/>
    <row r="1377" s="122" customFormat="1" x14ac:dyDescent="0.25"/>
    <row r="1378" s="122" customFormat="1" x14ac:dyDescent="0.25"/>
    <row r="1379" s="122" customFormat="1" x14ac:dyDescent="0.25"/>
    <row r="1380" s="122" customFormat="1" x14ac:dyDescent="0.25"/>
    <row r="1381" s="122" customFormat="1" x14ac:dyDescent="0.25"/>
    <row r="1382" s="122" customFormat="1" x14ac:dyDescent="0.25"/>
    <row r="1383" s="122" customFormat="1" x14ac:dyDescent="0.25"/>
    <row r="1384" s="122" customFormat="1" x14ac:dyDescent="0.25"/>
    <row r="1385" s="122" customFormat="1" x14ac:dyDescent="0.25"/>
    <row r="1386" s="122" customFormat="1" x14ac:dyDescent="0.25"/>
    <row r="1387" s="122" customFormat="1" x14ac:dyDescent="0.25"/>
    <row r="1388" s="122" customFormat="1" x14ac:dyDescent="0.25"/>
    <row r="1389" s="122" customFormat="1" x14ac:dyDescent="0.25"/>
    <row r="1390" s="122" customFormat="1" x14ac:dyDescent="0.25"/>
    <row r="1391" s="122" customFormat="1" x14ac:dyDescent="0.25"/>
    <row r="1392" s="122" customFormat="1" x14ac:dyDescent="0.25"/>
    <row r="1393" s="122" customFormat="1" x14ac:dyDescent="0.25"/>
    <row r="1394" s="122" customFormat="1" x14ac:dyDescent="0.25"/>
    <row r="1395" s="122" customFormat="1" x14ac:dyDescent="0.25"/>
    <row r="1396" s="122" customFormat="1" x14ac:dyDescent="0.25"/>
    <row r="1397" s="122" customFormat="1" x14ac:dyDescent="0.25"/>
    <row r="1398" s="122" customFormat="1" x14ac:dyDescent="0.25"/>
    <row r="1399" s="122" customFormat="1" x14ac:dyDescent="0.25"/>
    <row r="1400" s="122" customFormat="1" x14ac:dyDescent="0.25"/>
    <row r="1401" s="122" customFormat="1" x14ac:dyDescent="0.25"/>
    <row r="1402" s="122" customFormat="1" x14ac:dyDescent="0.25"/>
    <row r="1403" s="122" customFormat="1" x14ac:dyDescent="0.25"/>
    <row r="1404" s="122" customFormat="1" x14ac:dyDescent="0.25"/>
    <row r="1405" s="122" customFormat="1" x14ac:dyDescent="0.25"/>
    <row r="1406" s="122" customFormat="1" x14ac:dyDescent="0.25"/>
    <row r="1407" s="122" customFormat="1" x14ac:dyDescent="0.25"/>
    <row r="1408" s="122" customFormat="1" x14ac:dyDescent="0.25"/>
    <row r="1409" s="122" customFormat="1" x14ac:dyDescent="0.25"/>
    <row r="1410" s="122" customFormat="1" x14ac:dyDescent="0.25"/>
    <row r="1411" s="122" customFormat="1" x14ac:dyDescent="0.25"/>
    <row r="1412" s="122" customFormat="1" x14ac:dyDescent="0.25"/>
    <row r="1413" s="122" customFormat="1" x14ac:dyDescent="0.25"/>
    <row r="1414" s="122" customFormat="1" x14ac:dyDescent="0.25"/>
    <row r="1415" s="122" customFormat="1" x14ac:dyDescent="0.25"/>
    <row r="1416" s="122" customFormat="1" x14ac:dyDescent="0.25"/>
    <row r="1417" s="122" customFormat="1" x14ac:dyDescent="0.25"/>
    <row r="1418" s="122" customFormat="1" x14ac:dyDescent="0.25"/>
    <row r="1419" s="122" customFormat="1" x14ac:dyDescent="0.25"/>
    <row r="1420" s="122" customFormat="1" x14ac:dyDescent="0.25"/>
    <row r="1421" s="122" customFormat="1" x14ac:dyDescent="0.25"/>
    <row r="1422" s="122" customFormat="1" x14ac:dyDescent="0.25"/>
    <row r="1423" s="122" customFormat="1" x14ac:dyDescent="0.25"/>
    <row r="1424" s="122" customFormat="1" x14ac:dyDescent="0.25"/>
    <row r="1425" s="122" customFormat="1" x14ac:dyDescent="0.25"/>
    <row r="1426" s="122" customFormat="1" x14ac:dyDescent="0.25"/>
    <row r="1427" s="122" customFormat="1" x14ac:dyDescent="0.25"/>
    <row r="1428" s="122" customFormat="1" x14ac:dyDescent="0.25"/>
    <row r="1429" s="122" customFormat="1" x14ac:dyDescent="0.25"/>
    <row r="1430" s="122" customFormat="1" x14ac:dyDescent="0.25"/>
    <row r="1431" s="122" customFormat="1" x14ac:dyDescent="0.25"/>
    <row r="1432" s="122" customFormat="1" x14ac:dyDescent="0.25"/>
    <row r="1433" s="122" customFormat="1" x14ac:dyDescent="0.25"/>
    <row r="1434" s="122" customFormat="1" x14ac:dyDescent="0.25"/>
    <row r="1435" s="122" customFormat="1" x14ac:dyDescent="0.25"/>
    <row r="1436" s="122" customFormat="1" x14ac:dyDescent="0.25"/>
    <row r="1437" s="122" customFormat="1" x14ac:dyDescent="0.25"/>
    <row r="1438" s="122" customFormat="1" x14ac:dyDescent="0.25"/>
    <row r="1439" s="122" customFormat="1" x14ac:dyDescent="0.25"/>
    <row r="1440" s="122" customFormat="1" x14ac:dyDescent="0.25"/>
    <row r="1441" s="122" customFormat="1" x14ac:dyDescent="0.25"/>
    <row r="1442" s="122" customFormat="1" x14ac:dyDescent="0.25"/>
    <row r="1443" s="122" customFormat="1" x14ac:dyDescent="0.25"/>
    <row r="1444" s="122" customFormat="1" x14ac:dyDescent="0.25"/>
    <row r="1445" s="122" customFormat="1" x14ac:dyDescent="0.25"/>
    <row r="1446" s="122" customFormat="1" x14ac:dyDescent="0.25"/>
    <row r="1447" s="122" customFormat="1" x14ac:dyDescent="0.25"/>
    <row r="1448" s="122" customFormat="1" x14ac:dyDescent="0.25"/>
    <row r="1449" s="122" customFormat="1" x14ac:dyDescent="0.25"/>
    <row r="1450" s="122" customFormat="1" x14ac:dyDescent="0.25"/>
    <row r="1451" s="122" customFormat="1" x14ac:dyDescent="0.25"/>
    <row r="1452" s="122" customFormat="1" x14ac:dyDescent="0.25"/>
    <row r="1453" s="122" customFormat="1" x14ac:dyDescent="0.25"/>
    <row r="1454" s="122" customFormat="1" x14ac:dyDescent="0.25"/>
    <row r="1455" s="122" customFormat="1" x14ac:dyDescent="0.25"/>
    <row r="1456" s="122" customFormat="1" x14ac:dyDescent="0.25"/>
    <row r="1457" s="122" customFormat="1" x14ac:dyDescent="0.25"/>
    <row r="1458" s="122" customFormat="1" x14ac:dyDescent="0.25"/>
    <row r="1459" s="122" customFormat="1" x14ac:dyDescent="0.25"/>
    <row r="1460" s="122" customFormat="1" x14ac:dyDescent="0.25"/>
    <row r="1461" s="122" customFormat="1" x14ac:dyDescent="0.25"/>
    <row r="1462" s="122" customFormat="1" x14ac:dyDescent="0.25"/>
    <row r="1463" s="122" customFormat="1" x14ac:dyDescent="0.25"/>
    <row r="1464" s="122" customFormat="1" x14ac:dyDescent="0.25"/>
    <row r="1465" s="122" customFormat="1" x14ac:dyDescent="0.25"/>
    <row r="1466" s="122" customFormat="1" x14ac:dyDescent="0.25"/>
    <row r="1467" s="122" customFormat="1" x14ac:dyDescent="0.25"/>
    <row r="1468" s="122" customFormat="1" x14ac:dyDescent="0.25"/>
    <row r="1469" s="122" customFormat="1" x14ac:dyDescent="0.25"/>
    <row r="1470" s="122" customFormat="1" x14ac:dyDescent="0.25"/>
    <row r="1471" s="122" customFormat="1" x14ac:dyDescent="0.25"/>
    <row r="1472" s="122" customFormat="1" x14ac:dyDescent="0.25"/>
    <row r="1473" s="122" customFormat="1" x14ac:dyDescent="0.25"/>
    <row r="1474" s="122" customFormat="1" x14ac:dyDescent="0.25"/>
    <row r="1475" s="122" customFormat="1" x14ac:dyDescent="0.25"/>
    <row r="1476" s="122" customFormat="1" x14ac:dyDescent="0.25"/>
    <row r="1477" s="122" customFormat="1" x14ac:dyDescent="0.25"/>
    <row r="1478" s="122" customFormat="1" x14ac:dyDescent="0.25"/>
    <row r="1479" s="122" customFormat="1" x14ac:dyDescent="0.25"/>
    <row r="1480" s="122" customFormat="1" x14ac:dyDescent="0.25"/>
    <row r="1481" s="122" customFormat="1" x14ac:dyDescent="0.25"/>
    <row r="1482" s="122" customFormat="1" x14ac:dyDescent="0.25"/>
    <row r="1483" s="122" customFormat="1" x14ac:dyDescent="0.25"/>
    <row r="1484" s="122" customFormat="1" x14ac:dyDescent="0.25"/>
    <row r="1485" s="122" customFormat="1" x14ac:dyDescent="0.25"/>
    <row r="1486" s="122" customFormat="1" x14ac:dyDescent="0.25"/>
    <row r="1487" s="122" customFormat="1" x14ac:dyDescent="0.25"/>
    <row r="1488" s="122" customFormat="1" x14ac:dyDescent="0.25"/>
    <row r="1489" s="122" customFormat="1" x14ac:dyDescent="0.25"/>
    <row r="1490" s="122" customFormat="1" x14ac:dyDescent="0.25"/>
    <row r="1491" s="122" customFormat="1" x14ac:dyDescent="0.25"/>
    <row r="1492" s="122" customFormat="1" x14ac:dyDescent="0.25"/>
    <row r="1493" s="122" customFormat="1" x14ac:dyDescent="0.25"/>
    <row r="1494" s="122" customFormat="1" x14ac:dyDescent="0.25"/>
    <row r="1495" s="122" customFormat="1" x14ac:dyDescent="0.25"/>
    <row r="1496" s="122" customFormat="1" x14ac:dyDescent="0.25"/>
    <row r="1497" s="122" customFormat="1" x14ac:dyDescent="0.25"/>
    <row r="1498" s="122" customFormat="1" x14ac:dyDescent="0.25"/>
    <row r="1499" s="122" customFormat="1" x14ac:dyDescent="0.25"/>
    <row r="1500" s="122" customFormat="1" x14ac:dyDescent="0.25"/>
    <row r="1501" s="122" customFormat="1" x14ac:dyDescent="0.25"/>
    <row r="1502" s="122" customForma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2:BL1301"/>
  <sheetViews>
    <sheetView workbookViewId="0">
      <selection sqref="A1:XFD1048576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3.5703125" style="122" bestFit="1" customWidth="1"/>
    <col min="5" max="5" width="12.7109375" style="122" bestFit="1" customWidth="1"/>
    <col min="6" max="8" width="0" style="122" hidden="1" customWidth="1"/>
    <col min="9" max="9" width="25.710937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65" width="9.140625" style="122"/>
    <col min="66" max="66" width="21.85546875" style="122" bestFit="1" customWidth="1"/>
    <col min="67" max="16384" width="9.140625" style="122"/>
  </cols>
  <sheetData>
    <row r="2" spans="5:61" x14ac:dyDescent="0.25">
      <c r="E2" s="123"/>
      <c r="O2" s="141"/>
      <c r="P2" s="141"/>
      <c r="R2" s="142"/>
      <c r="Y2" s="141"/>
      <c r="AA2" s="141"/>
      <c r="AC2" s="141"/>
      <c r="AO2" s="141"/>
      <c r="AP2" s="141"/>
      <c r="AQ2" s="141"/>
      <c r="AR2" s="141"/>
      <c r="AS2" s="141"/>
      <c r="AT2" s="141"/>
      <c r="AU2" s="141"/>
      <c r="AX2" s="141"/>
      <c r="AY2" s="141"/>
      <c r="BI2" s="142"/>
    </row>
    <row r="3" spans="5:61" x14ac:dyDescent="0.25">
      <c r="E3" s="123"/>
      <c r="O3" s="141"/>
      <c r="P3" s="141"/>
      <c r="R3" s="142"/>
      <c r="Y3" s="141"/>
      <c r="AA3" s="141"/>
      <c r="AC3" s="141"/>
      <c r="AO3" s="141"/>
      <c r="AP3" s="141"/>
      <c r="AQ3" s="141"/>
      <c r="AR3" s="141"/>
      <c r="AS3" s="141"/>
      <c r="AT3" s="141"/>
      <c r="AU3" s="141"/>
      <c r="AX3" s="141"/>
      <c r="AY3" s="141"/>
      <c r="BI3" s="142"/>
    </row>
    <row r="4" spans="5:61" x14ac:dyDescent="0.25">
      <c r="E4" s="123"/>
      <c r="O4" s="141"/>
      <c r="P4" s="141"/>
      <c r="R4" s="142"/>
      <c r="Y4" s="141"/>
      <c r="AA4" s="141"/>
      <c r="AC4" s="141"/>
      <c r="AO4" s="141"/>
      <c r="AP4" s="141"/>
      <c r="AQ4" s="141"/>
      <c r="AR4" s="141"/>
      <c r="AS4" s="141"/>
      <c r="AT4" s="141"/>
      <c r="AU4" s="141"/>
      <c r="AY4" s="141"/>
      <c r="BI4" s="142"/>
    </row>
    <row r="5" spans="5:61" x14ac:dyDescent="0.25">
      <c r="E5" s="123"/>
      <c r="O5" s="141"/>
      <c r="P5" s="141"/>
      <c r="R5" s="142"/>
      <c r="AO5" s="141"/>
      <c r="AP5" s="141"/>
      <c r="AQ5" s="141"/>
      <c r="AR5" s="141"/>
      <c r="AS5" s="141"/>
      <c r="AT5" s="141"/>
      <c r="AU5" s="141"/>
      <c r="AY5" s="141"/>
      <c r="BI5" s="142"/>
    </row>
    <row r="6" spans="5:61" x14ac:dyDescent="0.25">
      <c r="E6" s="123"/>
      <c r="O6" s="141"/>
      <c r="P6" s="141"/>
      <c r="R6" s="142"/>
      <c r="Y6" s="141"/>
      <c r="AA6" s="141"/>
      <c r="AC6" s="141"/>
      <c r="AO6" s="141"/>
      <c r="AP6" s="141"/>
      <c r="AQ6" s="141"/>
      <c r="AR6" s="141"/>
      <c r="AS6" s="141"/>
      <c r="AT6" s="141"/>
      <c r="AU6" s="141"/>
      <c r="AY6" s="141"/>
      <c r="BI6" s="142"/>
    </row>
    <row r="7" spans="5:61" x14ac:dyDescent="0.25">
      <c r="E7" s="123"/>
      <c r="O7" s="141"/>
      <c r="P7" s="141"/>
      <c r="R7" s="142"/>
      <c r="Y7" s="141"/>
      <c r="AA7" s="141"/>
      <c r="AC7" s="141"/>
      <c r="AO7" s="141"/>
      <c r="AP7" s="141"/>
      <c r="AQ7" s="141"/>
      <c r="AR7" s="141"/>
      <c r="AS7" s="141"/>
      <c r="AT7" s="141"/>
      <c r="AU7" s="141"/>
      <c r="AX7" s="141"/>
      <c r="AY7" s="141"/>
      <c r="BI7" s="142"/>
    </row>
    <row r="8" spans="5:61" x14ac:dyDescent="0.25">
      <c r="E8" s="123"/>
      <c r="O8" s="141"/>
      <c r="P8" s="141"/>
      <c r="R8" s="142"/>
      <c r="Y8" s="141"/>
      <c r="AA8" s="141"/>
      <c r="AC8" s="141"/>
      <c r="AO8" s="141"/>
      <c r="AP8" s="141"/>
      <c r="AQ8" s="141"/>
      <c r="AR8" s="141"/>
      <c r="AS8" s="141"/>
      <c r="AT8" s="141"/>
      <c r="AU8" s="141"/>
      <c r="AY8" s="141"/>
      <c r="BI8" s="142"/>
    </row>
    <row r="9" spans="5:61" x14ac:dyDescent="0.25">
      <c r="E9" s="123"/>
      <c r="O9" s="141"/>
      <c r="P9" s="141"/>
      <c r="R9" s="142"/>
      <c r="Y9" s="141"/>
      <c r="AA9" s="141"/>
      <c r="AC9" s="141"/>
      <c r="AO9" s="141"/>
      <c r="AP9" s="141"/>
      <c r="AQ9" s="141"/>
      <c r="AR9" s="141"/>
      <c r="AS9" s="141"/>
      <c r="AT9" s="141"/>
      <c r="AU9" s="141"/>
      <c r="AY9" s="141"/>
      <c r="BI9" s="142"/>
    </row>
    <row r="10" spans="5:61" x14ac:dyDescent="0.25">
      <c r="E10" s="123"/>
      <c r="O10" s="141"/>
      <c r="P10" s="141"/>
      <c r="R10" s="142"/>
      <c r="Y10" s="141"/>
      <c r="AA10" s="141"/>
      <c r="AC10" s="141"/>
      <c r="AO10" s="141"/>
      <c r="AP10" s="141"/>
      <c r="AQ10" s="141"/>
      <c r="AR10" s="141"/>
      <c r="AS10" s="141"/>
      <c r="AT10" s="141"/>
      <c r="AU10" s="141"/>
      <c r="AY10" s="141"/>
      <c r="BI10" s="142"/>
    </row>
    <row r="11" spans="5:61" x14ac:dyDescent="0.25">
      <c r="E11" s="123"/>
      <c r="O11" s="141"/>
      <c r="P11" s="141"/>
      <c r="R11" s="142"/>
      <c r="Y11" s="141"/>
      <c r="AA11" s="141"/>
      <c r="AC11" s="141"/>
      <c r="AO11" s="141"/>
      <c r="AP11" s="141"/>
      <c r="AQ11" s="141"/>
      <c r="AR11" s="141"/>
      <c r="AS11" s="141"/>
      <c r="AT11" s="141"/>
      <c r="AU11" s="141"/>
      <c r="AY11" s="141"/>
      <c r="BC11" s="141"/>
      <c r="BI11" s="142"/>
    </row>
    <row r="12" spans="5:61" x14ac:dyDescent="0.25">
      <c r="E12" s="123"/>
      <c r="O12" s="141"/>
      <c r="P12" s="141"/>
      <c r="R12" s="142"/>
      <c r="Y12" s="141"/>
      <c r="AA12" s="141"/>
      <c r="AC12" s="141"/>
      <c r="AO12" s="141"/>
      <c r="AP12" s="141"/>
      <c r="AQ12" s="141"/>
      <c r="AR12" s="141"/>
      <c r="AS12" s="141"/>
      <c r="AT12" s="141"/>
      <c r="AU12" s="141"/>
      <c r="AY12" s="141"/>
      <c r="BI12" s="142"/>
    </row>
    <row r="13" spans="5:61" x14ac:dyDescent="0.25">
      <c r="E13" s="123"/>
      <c r="O13" s="141"/>
      <c r="P13" s="141"/>
      <c r="R13" s="142"/>
      <c r="Y13" s="141"/>
      <c r="AA13" s="141"/>
      <c r="AC13" s="141"/>
      <c r="AO13" s="141"/>
      <c r="AP13" s="141"/>
      <c r="AQ13" s="141"/>
      <c r="AR13" s="141"/>
      <c r="AS13" s="141"/>
      <c r="AT13" s="141"/>
      <c r="AU13" s="141"/>
      <c r="AY13" s="141"/>
      <c r="BI13" s="142"/>
    </row>
    <row r="14" spans="5:61" x14ac:dyDescent="0.25">
      <c r="E14" s="123"/>
      <c r="O14" s="141"/>
      <c r="P14" s="141"/>
      <c r="R14" s="142"/>
      <c r="Y14" s="141"/>
      <c r="AA14" s="141"/>
      <c r="AC14" s="141"/>
      <c r="AO14" s="141"/>
      <c r="AP14" s="141"/>
      <c r="AQ14" s="141"/>
      <c r="AR14" s="141"/>
      <c r="AS14" s="141"/>
      <c r="AT14" s="141"/>
      <c r="AU14" s="141"/>
      <c r="AY14" s="141"/>
      <c r="BI14" s="142"/>
    </row>
    <row r="15" spans="5:61" x14ac:dyDescent="0.25">
      <c r="E15" s="123"/>
      <c r="O15" s="141"/>
      <c r="P15" s="141"/>
      <c r="R15" s="142"/>
      <c r="Y15" s="141"/>
      <c r="AO15" s="141"/>
      <c r="AP15" s="141"/>
      <c r="AQ15" s="141"/>
      <c r="AR15" s="141"/>
      <c r="AS15" s="141"/>
      <c r="AT15" s="141"/>
      <c r="AU15" s="141"/>
      <c r="AY15" s="141"/>
      <c r="BI15" s="142"/>
    </row>
    <row r="16" spans="5:61" x14ac:dyDescent="0.25">
      <c r="E16" s="123"/>
      <c r="O16" s="141"/>
      <c r="P16" s="141"/>
      <c r="R16" s="142"/>
      <c r="Y16" s="141"/>
      <c r="AA16" s="141"/>
      <c r="AO16" s="141"/>
      <c r="AP16" s="141"/>
      <c r="AQ16" s="141"/>
      <c r="AR16" s="141"/>
      <c r="AS16" s="141"/>
      <c r="AT16" s="141"/>
      <c r="AU16" s="141"/>
      <c r="AY16" s="141"/>
      <c r="BI16" s="142"/>
    </row>
    <row r="17" spans="5:61" x14ac:dyDescent="0.25">
      <c r="E17" s="123"/>
      <c r="O17" s="141"/>
      <c r="P17" s="141"/>
      <c r="R17" s="142"/>
      <c r="Y17" s="141"/>
      <c r="AA17" s="141"/>
      <c r="AC17" s="141"/>
      <c r="AO17" s="141"/>
      <c r="AP17" s="141"/>
      <c r="AQ17" s="141"/>
      <c r="AR17" s="141"/>
      <c r="AS17" s="141"/>
      <c r="AT17" s="141"/>
      <c r="AU17" s="141"/>
      <c r="AY17" s="141"/>
      <c r="BI17" s="142"/>
    </row>
    <row r="18" spans="5:61" x14ac:dyDescent="0.25">
      <c r="E18" s="123"/>
      <c r="O18" s="141"/>
      <c r="P18" s="141"/>
      <c r="R18" s="142"/>
      <c r="Y18" s="141"/>
      <c r="AA18" s="141"/>
      <c r="AC18" s="141"/>
      <c r="AO18" s="141"/>
      <c r="AP18" s="141"/>
      <c r="AQ18" s="141"/>
      <c r="AR18" s="141"/>
      <c r="AS18" s="141"/>
      <c r="AT18" s="141"/>
      <c r="AU18" s="141"/>
      <c r="AY18" s="141"/>
      <c r="BI18" s="142"/>
    </row>
    <row r="19" spans="5:61" x14ac:dyDescent="0.25">
      <c r="E19" s="123"/>
      <c r="O19" s="141"/>
      <c r="P19" s="141"/>
      <c r="R19" s="142"/>
      <c r="Y19" s="141"/>
      <c r="AA19" s="141"/>
      <c r="AC19" s="141"/>
      <c r="AO19" s="141"/>
      <c r="AP19" s="141"/>
      <c r="AQ19" s="141"/>
      <c r="AR19" s="141"/>
      <c r="AS19" s="141"/>
      <c r="AT19" s="141"/>
      <c r="AU19" s="141"/>
      <c r="AX19" s="141"/>
      <c r="AY19" s="141"/>
      <c r="BI19" s="142"/>
    </row>
    <row r="20" spans="5:61" x14ac:dyDescent="0.25">
      <c r="E20" s="123"/>
      <c r="O20" s="141"/>
      <c r="P20" s="141"/>
      <c r="R20" s="142"/>
      <c r="Y20" s="141"/>
      <c r="AA20" s="141"/>
      <c r="AC20" s="141"/>
      <c r="AO20" s="141"/>
      <c r="AP20" s="141"/>
      <c r="AQ20" s="141"/>
      <c r="AR20" s="141"/>
      <c r="AS20" s="141"/>
      <c r="AT20" s="141"/>
      <c r="AU20" s="141"/>
      <c r="AY20" s="141"/>
      <c r="BC20" s="141"/>
      <c r="BI20" s="142"/>
    </row>
    <row r="21" spans="5:61" x14ac:dyDescent="0.25">
      <c r="E21" s="123"/>
      <c r="O21" s="141"/>
      <c r="P21" s="141"/>
      <c r="R21" s="142"/>
      <c r="Y21" s="141"/>
      <c r="AA21" s="141"/>
      <c r="AC21" s="141"/>
      <c r="AO21" s="141"/>
      <c r="AP21" s="141"/>
      <c r="AQ21" s="141"/>
      <c r="AR21" s="141"/>
      <c r="AS21" s="141"/>
      <c r="AT21" s="141"/>
      <c r="AU21" s="141"/>
      <c r="AX21" s="141"/>
      <c r="AY21" s="141"/>
      <c r="BC21" s="141"/>
      <c r="BI21" s="142"/>
    </row>
    <row r="22" spans="5:61" x14ac:dyDescent="0.25">
      <c r="E22" s="123"/>
      <c r="O22" s="141"/>
      <c r="P22" s="141"/>
      <c r="R22" s="142"/>
      <c r="Y22" s="141"/>
      <c r="AA22" s="141"/>
      <c r="AC22" s="141"/>
      <c r="AO22" s="141"/>
      <c r="AP22" s="141"/>
      <c r="AQ22" s="141"/>
      <c r="AR22" s="141"/>
      <c r="AS22" s="141"/>
      <c r="AT22" s="141"/>
      <c r="AU22" s="141"/>
      <c r="AY22" s="141"/>
      <c r="BI22" s="142"/>
    </row>
    <row r="23" spans="5:61" x14ac:dyDescent="0.25">
      <c r="E23" s="123"/>
      <c r="O23" s="141"/>
      <c r="P23" s="141"/>
      <c r="R23" s="142"/>
      <c r="Y23" s="141"/>
      <c r="AA23" s="141"/>
      <c r="AC23" s="141"/>
      <c r="AO23" s="141"/>
      <c r="AP23" s="141"/>
      <c r="AQ23" s="141"/>
      <c r="AR23" s="141"/>
      <c r="AS23" s="141"/>
      <c r="AT23" s="141"/>
      <c r="AU23" s="141"/>
      <c r="AY23" s="141"/>
      <c r="BC23" s="141"/>
      <c r="BI23" s="142"/>
    </row>
    <row r="24" spans="5:61" x14ac:dyDescent="0.25">
      <c r="E24" s="123"/>
      <c r="O24" s="141"/>
      <c r="P24" s="141"/>
      <c r="R24" s="142"/>
      <c r="Y24" s="141"/>
      <c r="AA24" s="141"/>
      <c r="AC24" s="141"/>
      <c r="AO24" s="141"/>
      <c r="AP24" s="141"/>
      <c r="AQ24" s="141"/>
      <c r="AR24" s="141"/>
      <c r="AS24" s="141"/>
      <c r="AT24" s="141"/>
      <c r="AU24" s="141"/>
      <c r="AY24" s="141"/>
      <c r="BI24" s="142"/>
    </row>
    <row r="25" spans="5:61" x14ac:dyDescent="0.25">
      <c r="E25" s="123"/>
      <c r="O25" s="141"/>
      <c r="P25" s="141"/>
      <c r="R25" s="142"/>
      <c r="Y25" s="141"/>
      <c r="AA25" s="141"/>
      <c r="AC25" s="141"/>
      <c r="AO25" s="141"/>
      <c r="AP25" s="141"/>
      <c r="AQ25" s="141"/>
      <c r="AR25" s="141"/>
      <c r="AS25" s="141"/>
      <c r="AT25" s="141"/>
      <c r="AU25" s="141"/>
      <c r="AY25" s="141"/>
      <c r="BI25" s="142"/>
    </row>
    <row r="26" spans="5:61" x14ac:dyDescent="0.25">
      <c r="E26" s="123"/>
      <c r="O26" s="141"/>
      <c r="P26" s="141"/>
      <c r="R26" s="142"/>
      <c r="Y26" s="141"/>
      <c r="AA26" s="141"/>
      <c r="AC26" s="141"/>
      <c r="AO26" s="141"/>
      <c r="AP26" s="141"/>
      <c r="AQ26" s="141"/>
      <c r="AR26" s="141"/>
      <c r="AS26" s="141"/>
      <c r="AT26" s="141"/>
      <c r="AU26" s="141"/>
      <c r="AY26" s="141"/>
      <c r="BI26" s="142"/>
    </row>
    <row r="27" spans="5:61" x14ac:dyDescent="0.25">
      <c r="E27" s="123"/>
      <c r="R27" s="142"/>
      <c r="Y27" s="141"/>
      <c r="AA27" s="141"/>
      <c r="AC27" s="141"/>
      <c r="AO27" s="141"/>
      <c r="AP27" s="141"/>
      <c r="AQ27" s="141"/>
      <c r="AR27" s="141"/>
      <c r="AS27" s="141"/>
      <c r="AT27" s="141"/>
      <c r="AU27" s="141"/>
      <c r="AY27" s="141"/>
      <c r="BI27" s="142"/>
    </row>
    <row r="28" spans="5:61" x14ac:dyDescent="0.25">
      <c r="E28" s="123"/>
      <c r="O28" s="141"/>
      <c r="P28" s="141"/>
      <c r="R28" s="142"/>
      <c r="Y28" s="141"/>
      <c r="AA28" s="141"/>
      <c r="AC28" s="141"/>
      <c r="AO28" s="141"/>
      <c r="AP28" s="141"/>
      <c r="AQ28" s="141"/>
      <c r="AR28" s="141"/>
      <c r="AS28" s="141"/>
      <c r="AT28" s="141"/>
      <c r="AU28" s="141"/>
      <c r="AY28" s="141"/>
      <c r="BC28" s="141"/>
      <c r="BI28" s="142"/>
    </row>
    <row r="29" spans="5:61" x14ac:dyDescent="0.25">
      <c r="E29" s="123"/>
      <c r="O29" s="141"/>
      <c r="P29" s="141"/>
      <c r="R29" s="142"/>
      <c r="Y29" s="141"/>
      <c r="AA29" s="141"/>
      <c r="AO29" s="141"/>
      <c r="AP29" s="141"/>
      <c r="AQ29" s="141"/>
      <c r="AR29" s="141"/>
      <c r="AS29" s="141"/>
      <c r="AT29" s="141"/>
      <c r="AU29" s="141"/>
      <c r="AY29" s="141"/>
      <c r="BI29" s="142"/>
    </row>
    <row r="30" spans="5:61" x14ac:dyDescent="0.25">
      <c r="E30" s="123"/>
      <c r="R30" s="142"/>
      <c r="Y30" s="141"/>
      <c r="AA30" s="141"/>
      <c r="AC30" s="141"/>
      <c r="AO30" s="141"/>
      <c r="AP30" s="141"/>
      <c r="AQ30" s="141"/>
      <c r="AR30" s="141"/>
      <c r="AS30" s="141"/>
      <c r="AT30" s="141"/>
      <c r="AU30" s="141"/>
      <c r="AY30" s="141"/>
      <c r="BI30" s="142"/>
    </row>
    <row r="31" spans="5:61" x14ac:dyDescent="0.25">
      <c r="E31" s="123"/>
      <c r="O31" s="141"/>
      <c r="P31" s="141"/>
      <c r="R31" s="142"/>
      <c r="Y31" s="141"/>
      <c r="AA31" s="141"/>
      <c r="AO31" s="141"/>
      <c r="AP31" s="141"/>
      <c r="AQ31" s="141"/>
      <c r="AR31" s="141"/>
      <c r="AS31" s="141"/>
      <c r="AT31" s="141"/>
      <c r="AU31" s="141"/>
      <c r="AX31" s="141"/>
      <c r="AY31" s="141"/>
      <c r="BI31" s="142"/>
    </row>
    <row r="32" spans="5:61" x14ac:dyDescent="0.25">
      <c r="E32" s="123"/>
      <c r="O32" s="141"/>
      <c r="P32" s="141"/>
      <c r="R32" s="142"/>
      <c r="Y32" s="141"/>
      <c r="AO32" s="141"/>
      <c r="AP32" s="141"/>
      <c r="AQ32" s="141"/>
      <c r="AR32" s="141"/>
      <c r="AS32" s="141"/>
      <c r="AT32" s="141"/>
      <c r="AU32" s="141"/>
      <c r="AY32" s="141"/>
      <c r="BI32" s="142"/>
    </row>
    <row r="33" spans="5:61" x14ac:dyDescent="0.25">
      <c r="E33" s="123"/>
      <c r="O33" s="141"/>
      <c r="P33" s="141"/>
      <c r="R33" s="142"/>
      <c r="Y33" s="141"/>
      <c r="AA33" s="141"/>
      <c r="AC33" s="141"/>
      <c r="AO33" s="141"/>
      <c r="AP33" s="141"/>
      <c r="AQ33" s="141"/>
      <c r="AR33" s="141"/>
      <c r="AS33" s="141"/>
      <c r="AT33" s="141"/>
      <c r="AU33" s="141"/>
      <c r="AY33" s="141"/>
      <c r="BI33" s="142"/>
    </row>
    <row r="34" spans="5:61" x14ac:dyDescent="0.25">
      <c r="E34" s="123"/>
      <c r="O34" s="141"/>
      <c r="P34" s="141"/>
      <c r="R34" s="142"/>
      <c r="Y34" s="141"/>
      <c r="AA34" s="141"/>
      <c r="AC34" s="141"/>
      <c r="AO34" s="141"/>
      <c r="AP34" s="141"/>
      <c r="AQ34" s="141"/>
      <c r="AR34" s="141"/>
      <c r="AS34" s="141"/>
      <c r="AT34" s="141"/>
      <c r="AU34" s="141"/>
      <c r="AY34" s="141"/>
      <c r="BI34" s="142"/>
    </row>
    <row r="35" spans="5:61" x14ac:dyDescent="0.25">
      <c r="E35" s="123"/>
      <c r="O35" s="141"/>
      <c r="P35" s="141"/>
      <c r="R35" s="142"/>
      <c r="Y35" s="141"/>
      <c r="AA35" s="141"/>
      <c r="AC35" s="141"/>
      <c r="AO35" s="141"/>
      <c r="AP35" s="141"/>
      <c r="AQ35" s="141"/>
      <c r="AR35" s="141"/>
      <c r="AS35" s="141"/>
      <c r="AT35" s="141"/>
      <c r="AU35" s="141"/>
      <c r="AY35" s="141"/>
      <c r="BI35" s="142"/>
    </row>
    <row r="36" spans="5:61" x14ac:dyDescent="0.25">
      <c r="E36" s="123"/>
      <c r="O36" s="141"/>
      <c r="P36" s="141"/>
      <c r="R36" s="142"/>
      <c r="Y36" s="141"/>
      <c r="AA36" s="141"/>
      <c r="AC36" s="141"/>
      <c r="AO36" s="141"/>
      <c r="AP36" s="141"/>
      <c r="AQ36" s="141"/>
      <c r="AR36" s="141"/>
      <c r="AS36" s="141"/>
      <c r="AT36" s="141"/>
      <c r="AU36" s="141"/>
      <c r="AX36" s="141"/>
      <c r="AY36" s="141"/>
      <c r="BI36" s="142"/>
    </row>
    <row r="37" spans="5:61" x14ac:dyDescent="0.25">
      <c r="E37" s="123"/>
      <c r="O37" s="141"/>
      <c r="P37" s="141"/>
      <c r="R37" s="142"/>
      <c r="Y37" s="141"/>
      <c r="AA37" s="141"/>
      <c r="AC37" s="141"/>
      <c r="AO37" s="141"/>
      <c r="AP37" s="141"/>
      <c r="AQ37" s="141"/>
      <c r="AR37" s="141"/>
      <c r="AS37" s="141"/>
      <c r="AT37" s="141"/>
      <c r="AU37" s="141"/>
      <c r="AY37" s="141"/>
      <c r="BI37" s="142"/>
    </row>
    <row r="38" spans="5:61" x14ac:dyDescent="0.25">
      <c r="E38" s="123"/>
      <c r="O38" s="141"/>
      <c r="P38" s="141"/>
      <c r="R38" s="142"/>
      <c r="Y38" s="141"/>
      <c r="AA38" s="141"/>
      <c r="AC38" s="141"/>
      <c r="AO38" s="141"/>
      <c r="AP38" s="141"/>
      <c r="AQ38" s="141"/>
      <c r="AR38" s="141"/>
      <c r="AS38" s="141"/>
      <c r="AT38" s="141"/>
      <c r="AU38" s="141"/>
      <c r="AY38" s="141"/>
      <c r="BI38" s="142"/>
    </row>
    <row r="39" spans="5:61" x14ac:dyDescent="0.25">
      <c r="E39" s="123"/>
      <c r="O39" s="141"/>
      <c r="P39" s="141"/>
      <c r="R39" s="142"/>
      <c r="Y39" s="141"/>
      <c r="AA39" s="141"/>
      <c r="AC39" s="141"/>
      <c r="AO39" s="141"/>
      <c r="AP39" s="141"/>
      <c r="AQ39" s="141"/>
      <c r="AR39" s="141"/>
      <c r="AS39" s="141"/>
      <c r="AT39" s="141"/>
      <c r="AU39" s="141"/>
      <c r="AY39" s="141"/>
      <c r="BI39" s="142"/>
    </row>
    <row r="40" spans="5:61" x14ac:dyDescent="0.25">
      <c r="E40" s="123"/>
      <c r="O40" s="141"/>
      <c r="P40" s="141"/>
      <c r="R40" s="142"/>
      <c r="Y40" s="141"/>
      <c r="AA40" s="141"/>
      <c r="AC40" s="141"/>
      <c r="AO40" s="141"/>
      <c r="AP40" s="141"/>
      <c r="AQ40" s="141"/>
      <c r="AR40" s="141"/>
      <c r="AS40" s="141"/>
      <c r="AT40" s="141"/>
      <c r="AU40" s="141"/>
      <c r="AY40" s="141"/>
      <c r="BI40" s="142"/>
    </row>
    <row r="41" spans="5:61" x14ac:dyDescent="0.25">
      <c r="E41" s="123"/>
      <c r="O41" s="141"/>
      <c r="P41" s="141"/>
      <c r="R41" s="142"/>
      <c r="Y41" s="141"/>
      <c r="AA41" s="141"/>
      <c r="AC41" s="141"/>
      <c r="AO41" s="141"/>
      <c r="AP41" s="141"/>
      <c r="AQ41" s="141"/>
      <c r="AR41" s="141"/>
      <c r="AS41" s="141"/>
      <c r="AT41" s="141"/>
      <c r="AU41" s="141"/>
      <c r="AY41" s="141"/>
      <c r="BC41" s="141"/>
      <c r="BI41" s="142"/>
    </row>
    <row r="42" spans="5:61" x14ac:dyDescent="0.25">
      <c r="E42" s="123"/>
      <c r="O42" s="141"/>
      <c r="P42" s="141"/>
      <c r="R42" s="142"/>
      <c r="Y42" s="141"/>
      <c r="AA42" s="141"/>
      <c r="AC42" s="141"/>
      <c r="AO42" s="141"/>
      <c r="AP42" s="141"/>
      <c r="AQ42" s="141"/>
      <c r="AR42" s="141"/>
      <c r="AS42" s="141"/>
      <c r="AT42" s="141"/>
      <c r="AU42" s="141"/>
      <c r="AY42" s="141"/>
      <c r="BI42" s="142"/>
    </row>
    <row r="43" spans="5:61" x14ac:dyDescent="0.25">
      <c r="E43" s="123"/>
      <c r="O43" s="141"/>
      <c r="P43" s="141"/>
      <c r="R43" s="142"/>
      <c r="Y43" s="141"/>
      <c r="AA43" s="141"/>
      <c r="AC43" s="141"/>
      <c r="AO43" s="141"/>
      <c r="AP43" s="141"/>
      <c r="AQ43" s="141"/>
      <c r="AR43" s="141"/>
      <c r="AS43" s="141"/>
      <c r="AT43" s="141"/>
      <c r="AU43" s="141"/>
      <c r="AY43" s="141"/>
      <c r="BI43" s="142"/>
    </row>
    <row r="44" spans="5:61" x14ac:dyDescent="0.25">
      <c r="E44" s="123"/>
      <c r="O44" s="141"/>
      <c r="P44" s="141"/>
      <c r="R44" s="142"/>
      <c r="Y44" s="141"/>
      <c r="AO44" s="141"/>
      <c r="AP44" s="141"/>
      <c r="AQ44" s="141"/>
      <c r="AR44" s="141"/>
      <c r="AS44" s="141"/>
      <c r="AT44" s="141"/>
      <c r="AU44" s="141"/>
      <c r="AX44" s="141"/>
      <c r="AY44" s="141"/>
      <c r="BI44" s="142"/>
    </row>
    <row r="45" spans="5:61" x14ac:dyDescent="0.25">
      <c r="E45" s="123"/>
      <c r="O45" s="141"/>
      <c r="P45" s="141"/>
      <c r="R45" s="142"/>
      <c r="Y45" s="141"/>
      <c r="AA45" s="141"/>
      <c r="AC45" s="141"/>
      <c r="AO45" s="141"/>
      <c r="AP45" s="141"/>
      <c r="AQ45" s="141"/>
      <c r="AR45" s="141"/>
      <c r="AS45" s="141"/>
      <c r="AT45" s="141"/>
      <c r="AU45" s="141"/>
      <c r="AY45" s="141"/>
      <c r="BI45" s="142"/>
    </row>
    <row r="46" spans="5:61" x14ac:dyDescent="0.25">
      <c r="E46" s="123"/>
      <c r="O46" s="141"/>
      <c r="P46" s="141"/>
      <c r="R46" s="142"/>
      <c r="Y46" s="141"/>
      <c r="AA46" s="141"/>
      <c r="AC46" s="141"/>
      <c r="AO46" s="141"/>
      <c r="AP46" s="141"/>
      <c r="AQ46" s="141"/>
      <c r="AR46" s="141"/>
      <c r="AS46" s="141"/>
      <c r="AT46" s="141"/>
      <c r="AU46" s="141"/>
      <c r="AY46" s="141"/>
      <c r="BI46" s="142"/>
    </row>
    <row r="47" spans="5:61" x14ac:dyDescent="0.25">
      <c r="E47" s="123"/>
      <c r="O47" s="141"/>
      <c r="P47" s="141"/>
      <c r="R47" s="142"/>
      <c r="Y47" s="141"/>
      <c r="AA47" s="141"/>
      <c r="AC47" s="141"/>
      <c r="AO47" s="141"/>
      <c r="AP47" s="141"/>
      <c r="AQ47" s="141"/>
      <c r="AR47" s="141"/>
      <c r="AS47" s="141"/>
      <c r="AT47" s="141"/>
      <c r="AU47" s="141"/>
      <c r="AY47" s="141"/>
      <c r="BI47" s="142"/>
    </row>
    <row r="48" spans="5:61" x14ac:dyDescent="0.25">
      <c r="E48" s="123"/>
      <c r="O48" s="141"/>
      <c r="P48" s="141"/>
      <c r="R48" s="142"/>
      <c r="Y48" s="141"/>
      <c r="AA48" s="141"/>
      <c r="AC48" s="141"/>
      <c r="AO48" s="141"/>
      <c r="AP48" s="141"/>
      <c r="AQ48" s="141"/>
      <c r="AR48" s="141"/>
      <c r="AS48" s="141"/>
      <c r="AT48" s="141"/>
      <c r="AU48" s="141"/>
      <c r="AX48" s="141"/>
      <c r="AY48" s="141"/>
      <c r="BI48" s="142"/>
    </row>
    <row r="49" spans="5:61" x14ac:dyDescent="0.25">
      <c r="E49" s="123"/>
      <c r="O49" s="141"/>
      <c r="P49" s="141"/>
      <c r="R49" s="142"/>
      <c r="Y49" s="141"/>
      <c r="AA49" s="141"/>
      <c r="AC49" s="141"/>
      <c r="AO49" s="141"/>
      <c r="AP49" s="141"/>
      <c r="AQ49" s="141"/>
      <c r="AR49" s="141"/>
      <c r="AS49" s="141"/>
      <c r="AT49" s="141"/>
      <c r="AU49" s="141"/>
      <c r="AX49" s="141"/>
      <c r="AY49" s="141"/>
      <c r="BI49" s="142"/>
    </row>
    <row r="50" spans="5:61" x14ac:dyDescent="0.25">
      <c r="E50" s="123"/>
      <c r="O50" s="141"/>
      <c r="P50" s="141"/>
      <c r="R50" s="142"/>
      <c r="Y50" s="141"/>
      <c r="AA50" s="141"/>
      <c r="AC50" s="141"/>
      <c r="AO50" s="141"/>
      <c r="AP50" s="141"/>
      <c r="AQ50" s="141"/>
      <c r="AR50" s="141"/>
      <c r="AS50" s="141"/>
      <c r="AT50" s="141"/>
      <c r="AU50" s="141"/>
      <c r="AY50" s="141"/>
      <c r="BI50" s="142"/>
    </row>
    <row r="51" spans="5:61" x14ac:dyDescent="0.25">
      <c r="E51" s="123"/>
      <c r="O51" s="141"/>
      <c r="P51" s="141"/>
      <c r="R51" s="142"/>
      <c r="Y51" s="141"/>
      <c r="AA51" s="141"/>
      <c r="AC51" s="141"/>
      <c r="AO51" s="141"/>
      <c r="AP51" s="141"/>
      <c r="AQ51" s="141"/>
      <c r="AR51" s="141"/>
      <c r="AS51" s="141"/>
      <c r="AT51" s="141"/>
      <c r="AU51" s="141"/>
      <c r="AY51" s="141"/>
      <c r="BI51" s="142"/>
    </row>
    <row r="52" spans="5:61" x14ac:dyDescent="0.25">
      <c r="E52" s="123"/>
      <c r="O52" s="141"/>
      <c r="P52" s="141"/>
      <c r="R52" s="142"/>
      <c r="Y52" s="141"/>
      <c r="AA52" s="141"/>
      <c r="AC52" s="141"/>
      <c r="AO52" s="141"/>
      <c r="AP52" s="141"/>
      <c r="AQ52" s="141"/>
      <c r="AR52" s="141"/>
      <c r="AS52" s="141"/>
      <c r="AT52" s="141"/>
      <c r="AU52" s="141"/>
      <c r="AX52" s="141"/>
      <c r="AY52" s="141"/>
      <c r="BC52" s="141"/>
      <c r="BI52" s="142"/>
    </row>
    <row r="53" spans="5:61" x14ac:dyDescent="0.25">
      <c r="E53" s="123"/>
      <c r="O53" s="141"/>
      <c r="P53" s="141"/>
      <c r="R53" s="142"/>
      <c r="Y53" s="141"/>
      <c r="AA53" s="141"/>
      <c r="AC53" s="141"/>
      <c r="AO53" s="141"/>
      <c r="AP53" s="141"/>
      <c r="AQ53" s="141"/>
      <c r="AR53" s="141"/>
      <c r="AS53" s="141"/>
      <c r="AT53" s="141"/>
      <c r="AU53" s="141"/>
      <c r="AX53" s="141"/>
      <c r="AY53" s="141"/>
      <c r="BI53" s="142"/>
    </row>
    <row r="54" spans="5:61" x14ac:dyDescent="0.25">
      <c r="E54" s="123"/>
      <c r="O54" s="141"/>
      <c r="P54" s="141"/>
      <c r="R54" s="142"/>
      <c r="Y54" s="141"/>
      <c r="AA54" s="141"/>
      <c r="AC54" s="141"/>
      <c r="AO54" s="141"/>
      <c r="AP54" s="141"/>
      <c r="AQ54" s="141"/>
      <c r="AR54" s="141"/>
      <c r="AS54" s="141"/>
      <c r="AT54" s="141"/>
      <c r="AU54" s="141"/>
      <c r="AY54" s="141"/>
      <c r="BI54" s="142"/>
    </row>
    <row r="55" spans="5:61" x14ac:dyDescent="0.25">
      <c r="E55" s="123"/>
      <c r="R55" s="142"/>
      <c r="Y55" s="141"/>
      <c r="AA55" s="141"/>
      <c r="AC55" s="141"/>
      <c r="AO55" s="141"/>
      <c r="AP55" s="141"/>
      <c r="AQ55" s="141"/>
      <c r="AR55" s="141"/>
      <c r="AS55" s="141"/>
      <c r="AT55" s="141"/>
      <c r="AU55" s="141"/>
      <c r="AY55" s="141"/>
      <c r="BI55" s="142"/>
    </row>
    <row r="56" spans="5:61" x14ac:dyDescent="0.25">
      <c r="E56" s="123"/>
      <c r="O56" s="141"/>
      <c r="P56" s="141"/>
      <c r="R56" s="142"/>
      <c r="Y56" s="141"/>
      <c r="AA56" s="141"/>
      <c r="AC56" s="141"/>
      <c r="AO56" s="141"/>
      <c r="AP56" s="141"/>
      <c r="AQ56" s="141"/>
      <c r="AR56" s="141"/>
      <c r="AS56" s="141"/>
      <c r="AT56" s="141"/>
      <c r="AU56" s="141"/>
      <c r="AY56" s="141"/>
      <c r="BI56" s="142"/>
    </row>
    <row r="57" spans="5:61" x14ac:dyDescent="0.25">
      <c r="E57" s="123"/>
      <c r="O57" s="141"/>
      <c r="P57" s="141"/>
      <c r="R57" s="142"/>
      <c r="Y57" s="141"/>
      <c r="AA57" s="141"/>
      <c r="AC57" s="141"/>
      <c r="AO57" s="141"/>
      <c r="AP57" s="141"/>
      <c r="AQ57" s="141"/>
      <c r="AR57" s="141"/>
      <c r="AS57" s="141"/>
      <c r="AT57" s="141"/>
      <c r="AU57" s="141"/>
      <c r="AY57" s="141"/>
      <c r="BC57" s="141"/>
      <c r="BI57" s="142"/>
    </row>
    <row r="58" spans="5:61" x14ac:dyDescent="0.25">
      <c r="E58" s="123"/>
      <c r="O58" s="141"/>
      <c r="P58" s="141"/>
      <c r="R58" s="142"/>
      <c r="Y58" s="141"/>
      <c r="AA58" s="141"/>
      <c r="AC58" s="141"/>
      <c r="AO58" s="141"/>
      <c r="AP58" s="141"/>
      <c r="AQ58" s="141"/>
      <c r="AR58" s="141"/>
      <c r="AS58" s="141"/>
      <c r="AT58" s="141"/>
      <c r="AU58" s="141"/>
      <c r="AX58" s="141"/>
      <c r="AY58" s="141"/>
      <c r="BI58" s="142"/>
    </row>
    <row r="59" spans="5:61" x14ac:dyDescent="0.25">
      <c r="E59" s="123"/>
      <c r="O59" s="141"/>
      <c r="P59" s="141"/>
      <c r="R59" s="142"/>
      <c r="AO59" s="141"/>
      <c r="AP59" s="141"/>
      <c r="AQ59" s="141"/>
      <c r="AR59" s="141"/>
      <c r="AS59" s="141"/>
      <c r="AT59" s="141"/>
      <c r="AU59" s="141"/>
      <c r="AY59" s="141"/>
      <c r="BI59" s="142"/>
    </row>
    <row r="60" spans="5:61" x14ac:dyDescent="0.25">
      <c r="E60" s="123"/>
      <c r="O60" s="141"/>
      <c r="P60" s="141"/>
      <c r="R60" s="142"/>
      <c r="Y60" s="141"/>
      <c r="AA60" s="141"/>
      <c r="AC60" s="141"/>
      <c r="AO60" s="141"/>
      <c r="AP60" s="141"/>
      <c r="AQ60" s="141"/>
      <c r="AR60" s="141"/>
      <c r="AS60" s="141"/>
      <c r="AT60" s="141"/>
      <c r="AU60" s="141"/>
      <c r="AY60" s="141"/>
      <c r="BI60" s="142"/>
    </row>
    <row r="61" spans="5:61" x14ac:dyDescent="0.25">
      <c r="E61" s="123"/>
      <c r="O61" s="141"/>
      <c r="P61" s="141"/>
      <c r="R61" s="142"/>
      <c r="Y61" s="141"/>
      <c r="AA61" s="141"/>
      <c r="AC61" s="141"/>
      <c r="AO61" s="141"/>
      <c r="AP61" s="141"/>
      <c r="AQ61" s="141"/>
      <c r="AR61" s="141"/>
      <c r="AS61" s="141"/>
      <c r="AT61" s="141"/>
      <c r="AU61" s="141"/>
      <c r="AX61" s="141"/>
      <c r="AY61" s="141"/>
      <c r="BI61" s="142"/>
    </row>
    <row r="62" spans="5:61" x14ac:dyDescent="0.25">
      <c r="E62" s="123"/>
      <c r="O62" s="141"/>
      <c r="P62" s="141"/>
      <c r="R62" s="142"/>
      <c r="AO62" s="141"/>
      <c r="AP62" s="141"/>
      <c r="AQ62" s="141"/>
      <c r="AR62" s="141"/>
      <c r="AS62" s="141"/>
      <c r="AT62" s="141"/>
      <c r="AU62" s="141"/>
      <c r="AY62" s="141"/>
      <c r="BI62" s="142"/>
    </row>
    <row r="63" spans="5:61" x14ac:dyDescent="0.25">
      <c r="E63" s="123"/>
      <c r="O63" s="141"/>
      <c r="P63" s="141"/>
      <c r="R63" s="142"/>
      <c r="Y63" s="141"/>
      <c r="AA63" s="141"/>
      <c r="AC63" s="141"/>
      <c r="AO63" s="141"/>
      <c r="AP63" s="141"/>
      <c r="AQ63" s="141"/>
      <c r="AR63" s="141"/>
      <c r="AS63" s="141"/>
      <c r="AT63" s="141"/>
      <c r="AU63" s="141"/>
      <c r="AY63" s="141"/>
      <c r="BI63" s="142"/>
    </row>
    <row r="64" spans="5:61" x14ac:dyDescent="0.25">
      <c r="E64" s="123"/>
      <c r="O64" s="141"/>
      <c r="P64" s="141"/>
      <c r="R64" s="142"/>
      <c r="Y64" s="141"/>
      <c r="AA64" s="141"/>
      <c r="AC64" s="141"/>
      <c r="AO64" s="141"/>
      <c r="AP64" s="141"/>
      <c r="AQ64" s="141"/>
      <c r="AR64" s="141"/>
      <c r="AS64" s="141"/>
      <c r="AT64" s="141"/>
      <c r="AU64" s="141"/>
      <c r="AX64" s="141"/>
      <c r="AY64" s="141"/>
      <c r="BI64" s="142"/>
    </row>
    <row r="65" spans="5:61" x14ac:dyDescent="0.25">
      <c r="E65" s="123"/>
      <c r="O65" s="141"/>
      <c r="P65" s="141"/>
      <c r="R65" s="142"/>
      <c r="AO65" s="141"/>
      <c r="AP65" s="141"/>
      <c r="AQ65" s="141"/>
      <c r="AR65" s="141"/>
      <c r="AS65" s="141"/>
      <c r="AT65" s="141"/>
      <c r="AU65" s="141"/>
      <c r="AY65" s="141"/>
      <c r="BI65" s="142"/>
    </row>
    <row r="66" spans="5:61" x14ac:dyDescent="0.25">
      <c r="E66" s="123"/>
      <c r="O66" s="141"/>
      <c r="P66" s="141"/>
      <c r="R66" s="142"/>
      <c r="Y66" s="141"/>
      <c r="AA66" s="141"/>
      <c r="AC66" s="141"/>
      <c r="AO66" s="141"/>
      <c r="AP66" s="141"/>
      <c r="AQ66" s="141"/>
      <c r="AR66" s="141"/>
      <c r="AS66" s="141"/>
      <c r="AT66" s="141"/>
      <c r="AU66" s="141"/>
      <c r="AY66" s="141"/>
      <c r="BI66" s="142"/>
    </row>
    <row r="67" spans="5:61" x14ac:dyDescent="0.25">
      <c r="E67" s="123"/>
      <c r="O67" s="141"/>
      <c r="P67" s="141"/>
      <c r="R67" s="142"/>
      <c r="Y67" s="141"/>
      <c r="AO67" s="141"/>
      <c r="AP67" s="141"/>
      <c r="AQ67" s="141"/>
      <c r="AR67" s="141"/>
      <c r="AS67" s="141"/>
      <c r="AT67" s="141"/>
      <c r="AU67" s="141"/>
      <c r="AX67" s="141"/>
      <c r="AY67" s="141"/>
      <c r="BI67" s="142"/>
    </row>
    <row r="68" spans="5:61" x14ac:dyDescent="0.25">
      <c r="E68" s="123"/>
      <c r="O68" s="141"/>
      <c r="P68" s="141"/>
      <c r="R68" s="142"/>
      <c r="AO68" s="141"/>
      <c r="AP68" s="141"/>
      <c r="AQ68" s="141"/>
      <c r="AR68" s="141"/>
      <c r="AS68" s="141"/>
      <c r="AT68" s="141"/>
      <c r="AU68" s="141"/>
      <c r="AY68" s="141"/>
      <c r="BI68" s="142"/>
    </row>
    <row r="69" spans="5:61" x14ac:dyDescent="0.25">
      <c r="E69" s="123"/>
      <c r="O69" s="141"/>
      <c r="P69" s="141"/>
      <c r="R69" s="142"/>
      <c r="AO69" s="141"/>
      <c r="AP69" s="141"/>
      <c r="AQ69" s="141"/>
      <c r="AR69" s="141"/>
      <c r="AS69" s="141"/>
      <c r="AT69" s="141"/>
      <c r="AU69" s="141"/>
      <c r="AY69" s="141"/>
      <c r="BI69" s="142"/>
    </row>
    <row r="70" spans="5:61" x14ac:dyDescent="0.25">
      <c r="E70" s="123"/>
      <c r="O70" s="141"/>
      <c r="P70" s="141"/>
      <c r="R70" s="142"/>
      <c r="AO70" s="141"/>
      <c r="AP70" s="141"/>
      <c r="AQ70" s="141"/>
      <c r="AR70" s="141"/>
      <c r="AS70" s="141"/>
      <c r="AT70" s="141"/>
      <c r="AU70" s="141"/>
      <c r="AY70" s="141"/>
      <c r="BI70" s="142"/>
    </row>
    <row r="71" spans="5:61" x14ac:dyDescent="0.25">
      <c r="E71" s="123"/>
      <c r="O71" s="141"/>
      <c r="P71" s="141"/>
      <c r="R71" s="142"/>
      <c r="AO71" s="141"/>
      <c r="AP71" s="141"/>
      <c r="AQ71" s="141"/>
      <c r="AR71" s="141"/>
      <c r="AS71" s="141"/>
      <c r="AT71" s="141"/>
      <c r="AU71" s="141"/>
      <c r="AY71" s="141"/>
      <c r="BI71" s="142"/>
    </row>
    <row r="72" spans="5:61" x14ac:dyDescent="0.25">
      <c r="E72" s="123"/>
      <c r="O72" s="141"/>
      <c r="P72" s="141"/>
      <c r="R72" s="142"/>
      <c r="Y72" s="141"/>
      <c r="AA72" s="141"/>
      <c r="AC72" s="141"/>
      <c r="AO72" s="141"/>
      <c r="AP72" s="141"/>
      <c r="AQ72" s="141"/>
      <c r="AR72" s="141"/>
      <c r="AS72" s="141"/>
      <c r="AT72" s="141"/>
      <c r="AU72" s="141"/>
      <c r="AX72" s="141"/>
      <c r="AY72" s="141"/>
      <c r="BC72" s="141"/>
      <c r="BI72" s="142"/>
    </row>
    <row r="73" spans="5:61" x14ac:dyDescent="0.25">
      <c r="E73" s="123"/>
      <c r="O73" s="141"/>
      <c r="P73" s="141"/>
      <c r="R73" s="142"/>
      <c r="Y73" s="141"/>
      <c r="AA73" s="141"/>
      <c r="AC73" s="141"/>
      <c r="AO73" s="141"/>
      <c r="AP73" s="141"/>
      <c r="AQ73" s="141"/>
      <c r="AR73" s="141"/>
      <c r="AS73" s="141"/>
      <c r="AT73" s="141"/>
      <c r="AU73" s="141"/>
      <c r="AY73" s="141"/>
      <c r="BI73" s="142"/>
    </row>
    <row r="74" spans="5:61" x14ac:dyDescent="0.25">
      <c r="E74" s="123"/>
      <c r="O74" s="141"/>
      <c r="P74" s="141"/>
      <c r="R74" s="142"/>
      <c r="Y74" s="141"/>
      <c r="AA74" s="141"/>
      <c r="AC74" s="141"/>
      <c r="AO74" s="141"/>
      <c r="AP74" s="141"/>
      <c r="AQ74" s="141"/>
      <c r="AR74" s="141"/>
      <c r="AS74" s="141"/>
      <c r="AT74" s="141"/>
      <c r="AU74" s="141"/>
      <c r="AY74" s="141"/>
      <c r="BC74" s="141"/>
      <c r="BI74" s="142"/>
    </row>
    <row r="75" spans="5:61" x14ac:dyDescent="0.25">
      <c r="E75" s="123"/>
      <c r="O75" s="141"/>
      <c r="P75" s="141"/>
      <c r="R75" s="142"/>
      <c r="Y75" s="141"/>
      <c r="AO75" s="141"/>
      <c r="AP75" s="141"/>
      <c r="AQ75" s="141"/>
      <c r="AR75" s="141"/>
      <c r="AS75" s="141"/>
      <c r="AT75" s="141"/>
      <c r="AU75" s="141"/>
      <c r="AY75" s="141"/>
      <c r="BI75" s="142"/>
    </row>
    <row r="76" spans="5:61" x14ac:dyDescent="0.25">
      <c r="E76" s="123"/>
      <c r="O76" s="141"/>
      <c r="P76" s="141"/>
      <c r="R76" s="142"/>
      <c r="Y76" s="141"/>
      <c r="AA76" s="141"/>
      <c r="AC76" s="141"/>
      <c r="AO76" s="141"/>
      <c r="AP76" s="141"/>
      <c r="AQ76" s="141"/>
      <c r="AR76" s="141"/>
      <c r="AS76" s="141"/>
      <c r="AT76" s="141"/>
      <c r="AU76" s="141"/>
      <c r="AY76" s="141"/>
      <c r="BI76" s="142"/>
    </row>
    <row r="77" spans="5:61" x14ac:dyDescent="0.25">
      <c r="E77" s="123"/>
      <c r="O77" s="141"/>
      <c r="P77" s="141"/>
      <c r="R77" s="142"/>
      <c r="Y77" s="141"/>
      <c r="AA77" s="141"/>
      <c r="AC77" s="141"/>
      <c r="AO77" s="141"/>
      <c r="AP77" s="141"/>
      <c r="AQ77" s="141"/>
      <c r="AR77" s="141"/>
      <c r="AS77" s="141"/>
      <c r="AT77" s="141"/>
      <c r="AU77" s="141"/>
      <c r="AY77" s="141"/>
      <c r="BI77" s="142"/>
    </row>
    <row r="78" spans="5:61" x14ac:dyDescent="0.25">
      <c r="E78" s="123"/>
      <c r="O78" s="141"/>
      <c r="P78" s="141"/>
      <c r="R78" s="142"/>
      <c r="Y78" s="141"/>
      <c r="AA78" s="141"/>
      <c r="AC78" s="141"/>
      <c r="AO78" s="141"/>
      <c r="AP78" s="141"/>
      <c r="AQ78" s="141"/>
      <c r="AR78" s="141"/>
      <c r="AS78" s="141"/>
      <c r="AT78" s="141"/>
      <c r="AU78" s="141"/>
      <c r="AY78" s="141"/>
      <c r="BC78" s="141"/>
      <c r="BI78" s="142"/>
    </row>
    <row r="79" spans="5:61" x14ac:dyDescent="0.25">
      <c r="E79" s="123"/>
      <c r="O79" s="141"/>
      <c r="P79" s="141"/>
      <c r="R79" s="142"/>
      <c r="Y79" s="141"/>
      <c r="AA79" s="141"/>
      <c r="AC79" s="141"/>
      <c r="AO79" s="141"/>
      <c r="AP79" s="141"/>
      <c r="AQ79" s="141"/>
      <c r="AR79" s="141"/>
      <c r="AS79" s="141"/>
      <c r="AT79" s="141"/>
      <c r="AU79" s="141"/>
      <c r="AX79" s="141"/>
      <c r="AY79" s="141"/>
      <c r="BI79" s="142"/>
    </row>
    <row r="80" spans="5:61" x14ac:dyDescent="0.25">
      <c r="E80" s="123"/>
      <c r="O80" s="141"/>
      <c r="P80" s="141"/>
      <c r="R80" s="142"/>
      <c r="Y80" s="141"/>
      <c r="AA80" s="141"/>
      <c r="AC80" s="141"/>
      <c r="AO80" s="141"/>
      <c r="AP80" s="141"/>
      <c r="AQ80" s="141"/>
      <c r="AR80" s="141"/>
      <c r="AS80" s="141"/>
      <c r="AT80" s="141"/>
      <c r="AU80" s="141"/>
      <c r="AX80" s="141"/>
      <c r="AY80" s="141"/>
      <c r="BI80" s="142"/>
    </row>
    <row r="81" spans="5:61" x14ac:dyDescent="0.25">
      <c r="E81" s="123"/>
      <c r="O81" s="141"/>
      <c r="P81" s="141"/>
      <c r="R81" s="142"/>
      <c r="Y81" s="141"/>
      <c r="AA81" s="141"/>
      <c r="AC81" s="141"/>
      <c r="AO81" s="141"/>
      <c r="AP81" s="141"/>
      <c r="AQ81" s="141"/>
      <c r="AR81" s="141"/>
      <c r="AS81" s="141"/>
      <c r="AT81" s="141"/>
      <c r="AU81" s="141"/>
      <c r="AY81" s="141"/>
      <c r="BC81" s="141"/>
      <c r="BI81" s="142"/>
    </row>
    <row r="82" spans="5:61" x14ac:dyDescent="0.25">
      <c r="E82" s="123"/>
      <c r="R82" s="142"/>
      <c r="Y82" s="141"/>
      <c r="AA82" s="141"/>
      <c r="AO82" s="141"/>
      <c r="AP82" s="141"/>
      <c r="AQ82" s="141"/>
      <c r="AR82" s="141"/>
      <c r="AS82" s="141"/>
      <c r="AT82" s="141"/>
      <c r="AU82" s="141"/>
      <c r="AY82" s="141"/>
      <c r="BI82" s="142"/>
    </row>
    <row r="83" spans="5:61" x14ac:dyDescent="0.25">
      <c r="E83" s="123"/>
      <c r="O83" s="141"/>
      <c r="P83" s="141"/>
      <c r="R83" s="142"/>
      <c r="Y83" s="141"/>
      <c r="AA83" s="141"/>
      <c r="AC83" s="141"/>
      <c r="AO83" s="141"/>
      <c r="AP83" s="141"/>
      <c r="AQ83" s="141"/>
      <c r="AR83" s="141"/>
      <c r="AS83" s="141"/>
      <c r="AT83" s="141"/>
      <c r="AU83" s="141"/>
      <c r="AY83" s="141"/>
      <c r="BI83" s="142"/>
    </row>
    <row r="84" spans="5:61" x14ac:dyDescent="0.25">
      <c r="E84" s="123"/>
      <c r="O84" s="141"/>
      <c r="P84" s="141"/>
      <c r="R84" s="142"/>
      <c r="Y84" s="141"/>
      <c r="AA84" s="141"/>
      <c r="AC84" s="141"/>
      <c r="AO84" s="141"/>
      <c r="AP84" s="141"/>
      <c r="AQ84" s="141"/>
      <c r="AR84" s="141"/>
      <c r="AS84" s="141"/>
      <c r="AT84" s="141"/>
      <c r="AU84" s="141"/>
      <c r="AY84" s="141"/>
      <c r="BI84" s="142"/>
    </row>
    <row r="85" spans="5:61" x14ac:dyDescent="0.25">
      <c r="E85" s="123"/>
      <c r="O85" s="141"/>
      <c r="P85" s="141"/>
      <c r="R85" s="142"/>
      <c r="Y85" s="141"/>
      <c r="AA85" s="141"/>
      <c r="AC85" s="141"/>
      <c r="AO85" s="141"/>
      <c r="AP85" s="141"/>
      <c r="AQ85" s="141"/>
      <c r="AR85" s="141"/>
      <c r="AS85" s="141"/>
      <c r="AT85" s="141"/>
      <c r="AU85" s="141"/>
      <c r="AY85" s="141"/>
      <c r="BI85" s="142"/>
    </row>
    <row r="86" spans="5:61" x14ac:dyDescent="0.25">
      <c r="E86" s="123"/>
      <c r="O86" s="141"/>
      <c r="P86" s="141"/>
      <c r="R86" s="142"/>
      <c r="Y86" s="141"/>
      <c r="AA86" s="141"/>
      <c r="AC86" s="141"/>
      <c r="AO86" s="141"/>
      <c r="AP86" s="141"/>
      <c r="AQ86" s="141"/>
      <c r="AR86" s="141"/>
      <c r="AS86" s="141"/>
      <c r="AT86" s="141"/>
      <c r="AU86" s="141"/>
      <c r="AX86" s="141"/>
      <c r="AY86" s="141"/>
      <c r="BI86" s="142"/>
    </row>
    <row r="87" spans="5:61" x14ac:dyDescent="0.25">
      <c r="E87" s="123"/>
      <c r="O87" s="141"/>
      <c r="P87" s="141"/>
      <c r="R87" s="142"/>
      <c r="Y87" s="141"/>
      <c r="AA87" s="141"/>
      <c r="AC87" s="141"/>
      <c r="AO87" s="141"/>
      <c r="AP87" s="141"/>
      <c r="AQ87" s="141"/>
      <c r="AR87" s="141"/>
      <c r="AS87" s="141"/>
      <c r="AT87" s="141"/>
      <c r="AU87" s="141"/>
      <c r="AY87" s="141"/>
      <c r="BI87" s="142"/>
    </row>
    <row r="88" spans="5:61" x14ac:dyDescent="0.25">
      <c r="E88" s="123"/>
      <c r="O88" s="141"/>
      <c r="P88" s="141"/>
      <c r="R88" s="142"/>
      <c r="Y88" s="141"/>
      <c r="AA88" s="141"/>
      <c r="AC88" s="141"/>
      <c r="AO88" s="141"/>
      <c r="AP88" s="141"/>
      <c r="AQ88" s="141"/>
      <c r="AR88" s="141"/>
      <c r="AS88" s="141"/>
      <c r="AT88" s="141"/>
      <c r="AU88" s="141"/>
      <c r="AY88" s="141"/>
      <c r="BI88" s="142"/>
    </row>
    <row r="89" spans="5:61" x14ac:dyDescent="0.25">
      <c r="E89" s="123"/>
      <c r="O89" s="141"/>
      <c r="P89" s="141"/>
      <c r="R89" s="142"/>
      <c r="Y89" s="141"/>
      <c r="AA89" s="141"/>
      <c r="AC89" s="141"/>
      <c r="AO89" s="141"/>
      <c r="AP89" s="141"/>
      <c r="AQ89" s="141"/>
      <c r="AR89" s="141"/>
      <c r="AS89" s="141"/>
      <c r="AT89" s="141"/>
      <c r="AU89" s="141"/>
      <c r="AX89" s="141"/>
      <c r="AY89" s="141"/>
      <c r="BI89" s="142"/>
    </row>
    <row r="90" spans="5:61" x14ac:dyDescent="0.25">
      <c r="E90" s="123"/>
      <c r="O90" s="141"/>
      <c r="P90" s="141"/>
      <c r="R90" s="142"/>
      <c r="Y90" s="141"/>
      <c r="AA90" s="141"/>
      <c r="AC90" s="141"/>
      <c r="AO90" s="141"/>
      <c r="AP90" s="141"/>
      <c r="AQ90" s="141"/>
      <c r="AR90" s="141"/>
      <c r="AS90" s="141"/>
      <c r="AT90" s="141"/>
      <c r="AU90" s="141"/>
      <c r="AY90" s="141"/>
      <c r="BI90" s="142"/>
    </row>
    <row r="91" spans="5:61" x14ac:dyDescent="0.25">
      <c r="E91" s="123"/>
      <c r="O91" s="141"/>
      <c r="P91" s="141"/>
      <c r="R91" s="142"/>
      <c r="Y91" s="141"/>
      <c r="AA91" s="141"/>
      <c r="AC91" s="141"/>
      <c r="AO91" s="141"/>
      <c r="AP91" s="141"/>
      <c r="AQ91" s="141"/>
      <c r="AR91" s="141"/>
      <c r="AS91" s="141"/>
      <c r="AT91" s="141"/>
      <c r="AU91" s="141"/>
      <c r="AY91" s="141"/>
      <c r="BI91" s="142"/>
    </row>
    <row r="92" spans="5:61" x14ac:dyDescent="0.25">
      <c r="E92" s="123"/>
      <c r="O92" s="141"/>
      <c r="P92" s="141"/>
      <c r="R92" s="142"/>
      <c r="Y92" s="141"/>
      <c r="AA92" s="141"/>
      <c r="AC92" s="141"/>
      <c r="AO92" s="141"/>
      <c r="AP92" s="141"/>
      <c r="AQ92" s="141"/>
      <c r="AR92" s="141"/>
      <c r="AS92" s="141"/>
      <c r="AT92" s="141"/>
      <c r="AU92" s="141"/>
      <c r="AY92" s="141"/>
      <c r="BI92" s="142"/>
    </row>
    <row r="93" spans="5:61" x14ac:dyDescent="0.25">
      <c r="E93" s="123"/>
      <c r="O93" s="141"/>
      <c r="P93" s="141"/>
      <c r="R93" s="142"/>
      <c r="Y93" s="141"/>
      <c r="AA93" s="141"/>
      <c r="AC93" s="141"/>
      <c r="AO93" s="141"/>
      <c r="AP93" s="141"/>
      <c r="AQ93" s="141"/>
      <c r="AR93" s="141"/>
      <c r="AS93" s="141"/>
      <c r="AT93" s="141"/>
      <c r="AU93" s="141"/>
      <c r="AY93" s="141"/>
      <c r="BI93" s="142"/>
    </row>
    <row r="94" spans="5:61" x14ac:dyDescent="0.25">
      <c r="E94" s="123"/>
      <c r="O94" s="141"/>
      <c r="P94" s="141"/>
      <c r="R94" s="142"/>
      <c r="Y94" s="141"/>
      <c r="AA94" s="141"/>
      <c r="AO94" s="141"/>
      <c r="AP94" s="141"/>
      <c r="AQ94" s="141"/>
      <c r="AR94" s="141"/>
      <c r="AS94" s="141"/>
      <c r="AT94" s="141"/>
      <c r="AU94" s="141"/>
      <c r="AY94" s="141"/>
      <c r="BI94" s="142"/>
    </row>
    <row r="95" spans="5:61" x14ac:dyDescent="0.25">
      <c r="E95" s="123"/>
      <c r="O95" s="141"/>
      <c r="P95" s="141"/>
      <c r="R95" s="142"/>
      <c r="Y95" s="141"/>
      <c r="AA95" s="141"/>
      <c r="AC95" s="141"/>
      <c r="AO95" s="141"/>
      <c r="AP95" s="141"/>
      <c r="AQ95" s="141"/>
      <c r="AR95" s="141"/>
      <c r="AS95" s="141"/>
      <c r="AT95" s="141"/>
      <c r="AU95" s="141"/>
      <c r="AX95" s="141"/>
      <c r="AY95" s="141"/>
      <c r="BC95" s="141"/>
      <c r="BI95" s="142"/>
    </row>
    <row r="96" spans="5:61" x14ac:dyDescent="0.25">
      <c r="E96" s="123"/>
      <c r="O96" s="141"/>
      <c r="P96" s="141"/>
      <c r="R96" s="142"/>
      <c r="Y96" s="141"/>
      <c r="AA96" s="141"/>
      <c r="AC96" s="141"/>
      <c r="AO96" s="141"/>
      <c r="AP96" s="141"/>
      <c r="AQ96" s="141"/>
      <c r="AR96" s="141"/>
      <c r="AS96" s="141"/>
      <c r="AT96" s="141"/>
      <c r="AU96" s="141"/>
      <c r="AY96" s="141"/>
      <c r="BI96" s="142"/>
    </row>
    <row r="97" spans="5:61" x14ac:dyDescent="0.25">
      <c r="E97" s="123"/>
      <c r="O97" s="141"/>
      <c r="P97" s="141"/>
      <c r="R97" s="142"/>
      <c r="Y97" s="141"/>
      <c r="AA97" s="141"/>
      <c r="AC97" s="141"/>
      <c r="AO97" s="141"/>
      <c r="AP97" s="141"/>
      <c r="AQ97" s="141"/>
      <c r="AR97" s="141"/>
      <c r="AS97" s="141"/>
      <c r="AT97" s="141"/>
      <c r="AU97" s="141"/>
      <c r="AY97" s="141"/>
      <c r="BC97" s="141"/>
      <c r="BI97" s="142"/>
    </row>
    <row r="98" spans="5:61" x14ac:dyDescent="0.25">
      <c r="E98" s="123"/>
      <c r="R98" s="142"/>
      <c r="Y98" s="141"/>
      <c r="AA98" s="141"/>
      <c r="AC98" s="141"/>
      <c r="AO98" s="141"/>
      <c r="AP98" s="141"/>
      <c r="AQ98" s="141"/>
      <c r="AR98" s="141"/>
      <c r="AS98" s="141"/>
      <c r="AT98" s="141"/>
      <c r="AU98" s="141"/>
      <c r="AY98" s="141"/>
      <c r="BI98" s="142"/>
    </row>
    <row r="99" spans="5:61" x14ac:dyDescent="0.25">
      <c r="E99" s="123"/>
      <c r="O99" s="141"/>
      <c r="P99" s="141"/>
      <c r="R99" s="142"/>
      <c r="Y99" s="141"/>
      <c r="AA99" s="141"/>
      <c r="AC99" s="141"/>
      <c r="AO99" s="141"/>
      <c r="AP99" s="141"/>
      <c r="AQ99" s="141"/>
      <c r="AR99" s="141"/>
      <c r="AS99" s="141"/>
      <c r="AT99" s="141"/>
      <c r="AU99" s="141"/>
      <c r="AY99" s="141"/>
      <c r="BI99" s="142"/>
    </row>
    <row r="100" spans="5:61" x14ac:dyDescent="0.25">
      <c r="E100" s="123"/>
      <c r="O100" s="141"/>
      <c r="P100" s="141"/>
      <c r="R100" s="142"/>
      <c r="Y100" s="141"/>
      <c r="AA100" s="141"/>
      <c r="AO100" s="141"/>
      <c r="AP100" s="141"/>
      <c r="AQ100" s="141"/>
      <c r="AR100" s="141"/>
      <c r="AS100" s="141"/>
      <c r="AT100" s="141"/>
      <c r="AU100" s="141"/>
      <c r="AX100" s="141"/>
      <c r="AY100" s="141"/>
      <c r="BI100" s="142"/>
    </row>
    <row r="101" spans="5:61" x14ac:dyDescent="0.25">
      <c r="E101" s="123"/>
      <c r="O101" s="141"/>
      <c r="P101" s="141"/>
      <c r="R101" s="142"/>
      <c r="Y101" s="141"/>
      <c r="AA101" s="141"/>
      <c r="AC101" s="141"/>
      <c r="AO101" s="141"/>
      <c r="AP101" s="141"/>
      <c r="AQ101" s="141"/>
      <c r="AR101" s="141"/>
      <c r="AS101" s="141"/>
      <c r="AT101" s="141"/>
      <c r="AU101" s="141"/>
      <c r="AY101" s="141"/>
      <c r="BI101" s="142"/>
    </row>
    <row r="102" spans="5:61" x14ac:dyDescent="0.25">
      <c r="E102" s="123"/>
      <c r="O102" s="141"/>
      <c r="P102" s="141"/>
      <c r="R102" s="142"/>
      <c r="AO102" s="141"/>
      <c r="AP102" s="141"/>
      <c r="AQ102" s="141"/>
      <c r="AR102" s="141"/>
      <c r="AS102" s="141"/>
      <c r="AT102" s="141"/>
      <c r="AU102" s="141"/>
      <c r="AY102" s="141"/>
      <c r="BI102" s="142"/>
    </row>
    <row r="103" spans="5:61" x14ac:dyDescent="0.25">
      <c r="E103" s="123"/>
      <c r="O103" s="141"/>
      <c r="P103" s="141"/>
      <c r="R103" s="142"/>
      <c r="Y103" s="141"/>
      <c r="AA103" s="141"/>
      <c r="AC103" s="141"/>
      <c r="AO103" s="141"/>
      <c r="AP103" s="141"/>
      <c r="AQ103" s="141"/>
      <c r="AR103" s="141"/>
      <c r="AS103" s="141"/>
      <c r="AT103" s="141"/>
      <c r="AU103" s="141"/>
      <c r="AY103" s="141"/>
      <c r="BI103" s="142"/>
    </row>
    <row r="104" spans="5:61" x14ac:dyDescent="0.25">
      <c r="E104" s="123"/>
      <c r="O104" s="141"/>
      <c r="P104" s="141"/>
      <c r="R104" s="142"/>
      <c r="Y104" s="141"/>
      <c r="AA104" s="141"/>
      <c r="AC104" s="141"/>
      <c r="AO104" s="141"/>
      <c r="AP104" s="141"/>
      <c r="AQ104" s="141"/>
      <c r="AR104" s="141"/>
      <c r="AS104" s="141"/>
      <c r="AT104" s="141"/>
      <c r="AU104" s="141"/>
      <c r="AX104" s="141"/>
      <c r="AY104" s="141"/>
      <c r="BI104" s="142"/>
    </row>
    <row r="105" spans="5:61" x14ac:dyDescent="0.25">
      <c r="E105" s="123"/>
      <c r="O105" s="141"/>
      <c r="P105" s="141"/>
      <c r="R105" s="142"/>
      <c r="Y105" s="141"/>
      <c r="AA105" s="141"/>
      <c r="AC105" s="141"/>
      <c r="AO105" s="141"/>
      <c r="AP105" s="141"/>
      <c r="AQ105" s="141"/>
      <c r="AR105" s="141"/>
      <c r="AS105" s="141"/>
      <c r="AT105" s="141"/>
      <c r="AU105" s="141"/>
      <c r="AY105" s="141"/>
      <c r="BI105" s="142"/>
    </row>
    <row r="106" spans="5:61" x14ac:dyDescent="0.25">
      <c r="E106" s="123"/>
      <c r="O106" s="141"/>
      <c r="P106" s="141"/>
      <c r="R106" s="142"/>
      <c r="Y106" s="141"/>
      <c r="AA106" s="141"/>
      <c r="AC106" s="141"/>
      <c r="AO106" s="141"/>
      <c r="AP106" s="141"/>
      <c r="AQ106" s="141"/>
      <c r="AR106" s="141"/>
      <c r="AS106" s="141"/>
      <c r="AT106" s="141"/>
      <c r="AU106" s="141"/>
      <c r="AY106" s="141"/>
      <c r="BI106" s="142"/>
    </row>
    <row r="107" spans="5:61" x14ac:dyDescent="0.25">
      <c r="E107" s="123"/>
      <c r="O107" s="141"/>
      <c r="P107" s="141"/>
      <c r="R107" s="142"/>
      <c r="Y107" s="141"/>
      <c r="AA107" s="141"/>
      <c r="AO107" s="141"/>
      <c r="AP107" s="141"/>
      <c r="AQ107" s="141"/>
      <c r="AR107" s="141"/>
      <c r="AS107" s="141"/>
      <c r="AT107" s="141"/>
      <c r="AU107" s="141"/>
      <c r="AY107" s="141"/>
      <c r="BI107" s="142"/>
    </row>
    <row r="108" spans="5:61" x14ac:dyDescent="0.25">
      <c r="E108" s="123"/>
      <c r="O108" s="141"/>
      <c r="P108" s="141"/>
      <c r="R108" s="142"/>
      <c r="Y108" s="141"/>
      <c r="AA108" s="141"/>
      <c r="AC108" s="141"/>
      <c r="AO108" s="141"/>
      <c r="AP108" s="141"/>
      <c r="AQ108" s="141"/>
      <c r="AR108" s="141"/>
      <c r="AS108" s="141"/>
      <c r="AT108" s="141"/>
      <c r="AU108" s="141"/>
      <c r="AX108" s="141"/>
      <c r="AY108" s="141"/>
      <c r="BI108" s="142"/>
    </row>
    <row r="109" spans="5:61" x14ac:dyDescent="0.25">
      <c r="E109" s="123"/>
      <c r="O109" s="141"/>
      <c r="P109" s="141"/>
      <c r="R109" s="142"/>
      <c r="Y109" s="141"/>
      <c r="AA109" s="141"/>
      <c r="AC109" s="141"/>
      <c r="AO109" s="141"/>
      <c r="AP109" s="141"/>
      <c r="AQ109" s="141"/>
      <c r="AR109" s="141"/>
      <c r="AS109" s="141"/>
      <c r="AT109" s="141"/>
      <c r="AU109" s="141"/>
      <c r="AX109" s="141"/>
      <c r="AY109" s="141"/>
      <c r="BI109" s="142"/>
    </row>
    <row r="113" spans="62:64" x14ac:dyDescent="0.25">
      <c r="BJ113" s="122"/>
      <c r="BK113" s="122"/>
      <c r="BL113" s="122"/>
    </row>
    <row r="114" spans="62:64" x14ac:dyDescent="0.25">
      <c r="BJ114" s="122"/>
      <c r="BK114" s="122"/>
      <c r="BL114" s="122"/>
    </row>
    <row r="115" spans="62:64" x14ac:dyDescent="0.25">
      <c r="BJ115" s="122"/>
      <c r="BK115" s="122"/>
      <c r="BL115" s="122"/>
    </row>
    <row r="116" spans="62:64" x14ac:dyDescent="0.25">
      <c r="BJ116" s="122"/>
      <c r="BK116" s="122"/>
      <c r="BL116" s="122"/>
    </row>
    <row r="117" spans="62:64" x14ac:dyDescent="0.25">
      <c r="BJ117" s="122"/>
      <c r="BK117" s="122"/>
      <c r="BL117" s="122"/>
    </row>
    <row r="118" spans="62:64" x14ac:dyDescent="0.25">
      <c r="BJ118" s="122"/>
      <c r="BK118" s="122"/>
      <c r="BL118" s="122"/>
    </row>
    <row r="119" spans="62:64" x14ac:dyDescent="0.25">
      <c r="BJ119" s="122"/>
      <c r="BK119" s="122"/>
      <c r="BL119" s="122"/>
    </row>
    <row r="120" spans="62:64" x14ac:dyDescent="0.25">
      <c r="BJ120" s="122"/>
      <c r="BK120" s="122"/>
      <c r="BL120" s="122"/>
    </row>
    <row r="121" spans="62:64" x14ac:dyDescent="0.25">
      <c r="BJ121" s="122"/>
      <c r="BK121" s="122"/>
      <c r="BL121" s="122"/>
    </row>
    <row r="122" spans="62:64" x14ac:dyDescent="0.25">
      <c r="BJ122" s="122"/>
      <c r="BK122" s="122"/>
      <c r="BL122" s="122"/>
    </row>
    <row r="123" spans="62:64" x14ac:dyDescent="0.25">
      <c r="BJ123" s="122"/>
      <c r="BK123" s="122"/>
      <c r="BL123" s="122"/>
    </row>
    <row r="124" spans="62:64" x14ac:dyDescent="0.25">
      <c r="BJ124" s="122"/>
      <c r="BK124" s="122"/>
      <c r="BL124" s="122"/>
    </row>
    <row r="125" spans="62:64" x14ac:dyDescent="0.25">
      <c r="BJ125" s="122"/>
      <c r="BK125" s="122"/>
      <c r="BL125" s="122"/>
    </row>
    <row r="126" spans="62:64" x14ac:dyDescent="0.25">
      <c r="BJ126" s="122"/>
      <c r="BK126" s="122"/>
      <c r="BL126" s="122"/>
    </row>
    <row r="127" spans="62:64" x14ac:dyDescent="0.25">
      <c r="BJ127" s="122"/>
      <c r="BK127" s="122"/>
      <c r="BL127" s="122"/>
    </row>
    <row r="128" spans="62:64" x14ac:dyDescent="0.25">
      <c r="BJ128" s="122"/>
      <c r="BK128" s="122"/>
      <c r="BL128" s="122"/>
    </row>
    <row r="129" spans="62:64" x14ac:dyDescent="0.25">
      <c r="BJ129" s="122"/>
      <c r="BK129" s="122"/>
      <c r="BL129" s="122"/>
    </row>
    <row r="130" spans="62:64" x14ac:dyDescent="0.25">
      <c r="BJ130" s="122"/>
      <c r="BK130" s="122"/>
      <c r="BL130" s="122"/>
    </row>
    <row r="131" spans="62:64" x14ac:dyDescent="0.25">
      <c r="BJ131" s="122"/>
      <c r="BK131" s="122"/>
      <c r="BL131" s="122"/>
    </row>
    <row r="132" spans="62:64" x14ac:dyDescent="0.25">
      <c r="BJ132" s="122"/>
      <c r="BK132" s="122"/>
      <c r="BL132" s="122"/>
    </row>
    <row r="133" spans="62:64" x14ac:dyDescent="0.25">
      <c r="BJ133" s="122"/>
      <c r="BK133" s="122"/>
      <c r="BL133" s="122"/>
    </row>
    <row r="134" spans="62:64" x14ac:dyDescent="0.25">
      <c r="BJ134" s="122"/>
      <c r="BK134" s="122"/>
      <c r="BL134" s="122"/>
    </row>
    <row r="135" spans="62:64" x14ac:dyDescent="0.25">
      <c r="BJ135" s="122"/>
      <c r="BK135" s="122"/>
      <c r="BL135" s="122"/>
    </row>
    <row r="136" spans="62:64" x14ac:dyDescent="0.25">
      <c r="BJ136" s="122"/>
      <c r="BK136" s="122"/>
      <c r="BL136" s="122"/>
    </row>
    <row r="137" spans="62:64" x14ac:dyDescent="0.25">
      <c r="BJ137" s="122"/>
      <c r="BK137" s="122"/>
      <c r="BL137" s="122"/>
    </row>
    <row r="138" spans="62:64" x14ac:dyDescent="0.25">
      <c r="BJ138" s="122"/>
      <c r="BK138" s="122"/>
      <c r="BL138" s="122"/>
    </row>
    <row r="139" spans="62:64" x14ac:dyDescent="0.25">
      <c r="BJ139" s="122"/>
      <c r="BK139" s="122"/>
      <c r="BL139" s="122"/>
    </row>
    <row r="140" spans="62:64" x14ac:dyDescent="0.25">
      <c r="BJ140" s="122"/>
      <c r="BK140" s="122"/>
      <c r="BL140" s="122"/>
    </row>
    <row r="141" spans="62:64" x14ac:dyDescent="0.25">
      <c r="BJ141" s="122"/>
      <c r="BK141" s="122"/>
      <c r="BL141" s="122"/>
    </row>
    <row r="142" spans="62:64" x14ac:dyDescent="0.25">
      <c r="BJ142" s="122"/>
      <c r="BK142" s="122"/>
      <c r="BL142" s="122"/>
    </row>
    <row r="143" spans="62:64" x14ac:dyDescent="0.25">
      <c r="BJ143" s="122"/>
      <c r="BK143" s="122"/>
      <c r="BL143" s="122"/>
    </row>
    <row r="144" spans="62:64" x14ac:dyDescent="0.25">
      <c r="BJ144" s="122"/>
      <c r="BK144" s="122"/>
      <c r="BL144" s="122"/>
    </row>
    <row r="145" spans="62:64" x14ac:dyDescent="0.25">
      <c r="BJ145" s="122"/>
      <c r="BK145" s="122"/>
      <c r="BL145" s="122"/>
    </row>
    <row r="146" spans="62:64" x14ac:dyDescent="0.25">
      <c r="BJ146" s="122"/>
      <c r="BK146" s="122"/>
      <c r="BL146" s="122"/>
    </row>
    <row r="147" spans="62:64" x14ac:dyDescent="0.25">
      <c r="BJ147" s="122"/>
      <c r="BK147" s="122"/>
      <c r="BL147" s="122"/>
    </row>
    <row r="148" spans="62:64" x14ac:dyDescent="0.25">
      <c r="BJ148" s="122"/>
      <c r="BK148" s="122"/>
      <c r="BL148" s="122"/>
    </row>
    <row r="149" spans="62:64" x14ac:dyDescent="0.25">
      <c r="BJ149" s="122"/>
      <c r="BK149" s="122"/>
      <c r="BL149" s="122"/>
    </row>
    <row r="150" spans="62:64" x14ac:dyDescent="0.25">
      <c r="BJ150" s="122"/>
      <c r="BK150" s="122"/>
      <c r="BL150" s="122"/>
    </row>
    <row r="151" spans="62:64" x14ac:dyDescent="0.25">
      <c r="BJ151" s="122"/>
      <c r="BK151" s="122"/>
      <c r="BL151" s="122"/>
    </row>
    <row r="152" spans="62:64" x14ac:dyDescent="0.25">
      <c r="BJ152" s="122"/>
      <c r="BK152" s="122"/>
      <c r="BL152" s="122"/>
    </row>
    <row r="153" spans="62:64" x14ac:dyDescent="0.25">
      <c r="BJ153" s="122"/>
      <c r="BK153" s="122"/>
      <c r="BL153" s="122"/>
    </row>
    <row r="154" spans="62:64" x14ac:dyDescent="0.25">
      <c r="BJ154" s="122"/>
      <c r="BK154" s="122"/>
      <c r="BL154" s="122"/>
    </row>
    <row r="155" spans="62:64" x14ac:dyDescent="0.25">
      <c r="BJ155" s="122"/>
      <c r="BK155" s="122"/>
      <c r="BL155" s="122"/>
    </row>
    <row r="156" spans="62:64" x14ac:dyDescent="0.25">
      <c r="BJ156" s="122"/>
      <c r="BK156" s="122"/>
      <c r="BL156" s="122"/>
    </row>
    <row r="157" spans="62:64" x14ac:dyDescent="0.25">
      <c r="BJ157" s="122"/>
      <c r="BK157" s="122"/>
      <c r="BL157" s="122"/>
    </row>
    <row r="158" spans="62:64" x14ac:dyDescent="0.25">
      <c r="BJ158" s="122"/>
      <c r="BK158" s="122"/>
      <c r="BL158" s="122"/>
    </row>
    <row r="159" spans="62:64" x14ac:dyDescent="0.25">
      <c r="BJ159" s="122"/>
      <c r="BK159" s="122"/>
      <c r="BL159" s="122"/>
    </row>
    <row r="160" spans="62:64" x14ac:dyDescent="0.25">
      <c r="BJ160" s="122"/>
      <c r="BK160" s="122"/>
      <c r="BL160" s="122"/>
    </row>
    <row r="161" spans="62:64" x14ac:dyDescent="0.25">
      <c r="BJ161" s="122"/>
      <c r="BK161" s="122"/>
      <c r="BL161" s="122"/>
    </row>
    <row r="162" spans="62:64" x14ac:dyDescent="0.25">
      <c r="BJ162" s="122"/>
      <c r="BK162" s="122"/>
      <c r="BL162" s="122"/>
    </row>
    <row r="163" spans="62:64" x14ac:dyDescent="0.25">
      <c r="BJ163" s="122"/>
      <c r="BK163" s="122"/>
      <c r="BL163" s="122"/>
    </row>
    <row r="164" spans="62:64" x14ac:dyDescent="0.25">
      <c r="BJ164" s="122"/>
      <c r="BK164" s="122"/>
      <c r="BL164" s="122"/>
    </row>
    <row r="165" spans="62:64" x14ac:dyDescent="0.25">
      <c r="BJ165" s="122"/>
      <c r="BK165" s="122"/>
      <c r="BL165" s="122"/>
    </row>
    <row r="166" spans="62:64" x14ac:dyDescent="0.25">
      <c r="BJ166" s="122"/>
      <c r="BK166" s="122"/>
      <c r="BL166" s="122"/>
    </row>
    <row r="167" spans="62:64" x14ac:dyDescent="0.25">
      <c r="BJ167" s="122"/>
      <c r="BK167" s="122"/>
      <c r="BL167" s="122"/>
    </row>
    <row r="168" spans="62:64" x14ac:dyDescent="0.25">
      <c r="BJ168" s="122"/>
      <c r="BK168" s="122"/>
      <c r="BL168" s="122"/>
    </row>
    <row r="169" spans="62:64" x14ac:dyDescent="0.25">
      <c r="BJ169" s="122"/>
      <c r="BK169" s="122"/>
      <c r="BL169" s="122"/>
    </row>
    <row r="170" spans="62:64" x14ac:dyDescent="0.25">
      <c r="BJ170" s="122"/>
      <c r="BK170" s="122"/>
      <c r="BL170" s="122"/>
    </row>
    <row r="171" spans="62:64" x14ac:dyDescent="0.25">
      <c r="BJ171" s="122"/>
      <c r="BK171" s="122"/>
      <c r="BL171" s="122"/>
    </row>
    <row r="172" spans="62:64" x14ac:dyDescent="0.25">
      <c r="BJ172" s="122"/>
      <c r="BK172" s="122"/>
      <c r="BL172" s="122"/>
    </row>
    <row r="173" spans="62:64" x14ac:dyDescent="0.25">
      <c r="BJ173" s="122"/>
      <c r="BK173" s="122"/>
      <c r="BL173" s="122"/>
    </row>
    <row r="174" spans="62:64" x14ac:dyDescent="0.25">
      <c r="BJ174" s="122"/>
      <c r="BK174" s="122"/>
      <c r="BL174" s="122"/>
    </row>
    <row r="175" spans="62:64" x14ac:dyDescent="0.25">
      <c r="BJ175" s="122"/>
      <c r="BK175" s="122"/>
      <c r="BL175" s="122"/>
    </row>
    <row r="176" spans="62:64" x14ac:dyDescent="0.25">
      <c r="BJ176" s="122"/>
      <c r="BK176" s="122"/>
      <c r="BL176" s="122"/>
    </row>
    <row r="177" spans="62:64" x14ac:dyDescent="0.25">
      <c r="BJ177" s="122"/>
      <c r="BK177" s="122"/>
      <c r="BL177" s="122"/>
    </row>
    <row r="178" spans="62:64" x14ac:dyDescent="0.25">
      <c r="BJ178" s="122"/>
      <c r="BK178" s="122"/>
      <c r="BL178" s="122"/>
    </row>
    <row r="179" spans="62:64" x14ac:dyDescent="0.25">
      <c r="BJ179" s="122"/>
      <c r="BK179" s="122"/>
      <c r="BL179" s="122"/>
    </row>
    <row r="180" spans="62:64" x14ac:dyDescent="0.25">
      <c r="BJ180" s="122"/>
      <c r="BK180" s="122"/>
      <c r="BL180" s="122"/>
    </row>
    <row r="181" spans="62:64" x14ac:dyDescent="0.25">
      <c r="BJ181" s="122"/>
      <c r="BK181" s="122"/>
      <c r="BL181" s="122"/>
    </row>
    <row r="182" spans="62:64" x14ac:dyDescent="0.25">
      <c r="BJ182" s="122"/>
      <c r="BK182" s="122"/>
      <c r="BL182" s="122"/>
    </row>
    <row r="183" spans="62:64" x14ac:dyDescent="0.25">
      <c r="BJ183" s="122"/>
      <c r="BK183" s="122"/>
      <c r="BL183" s="122"/>
    </row>
    <row r="184" spans="62:64" x14ac:dyDescent="0.25">
      <c r="BJ184" s="122"/>
      <c r="BK184" s="122"/>
      <c r="BL184" s="122"/>
    </row>
    <row r="185" spans="62:64" x14ac:dyDescent="0.25">
      <c r="BJ185" s="122"/>
      <c r="BK185" s="122"/>
      <c r="BL185" s="122"/>
    </row>
    <row r="186" spans="62:64" x14ac:dyDescent="0.25">
      <c r="BJ186" s="122"/>
      <c r="BK186" s="122"/>
      <c r="BL186" s="122"/>
    </row>
    <row r="187" spans="62:64" x14ac:dyDescent="0.25">
      <c r="BJ187" s="122"/>
      <c r="BK187" s="122"/>
      <c r="BL187" s="122"/>
    </row>
    <row r="188" spans="62:64" x14ac:dyDescent="0.25">
      <c r="BJ188" s="122"/>
      <c r="BK188" s="122"/>
      <c r="BL188" s="122"/>
    </row>
    <row r="189" spans="62:64" x14ac:dyDescent="0.25">
      <c r="BJ189" s="122"/>
      <c r="BK189" s="122"/>
      <c r="BL189" s="122"/>
    </row>
    <row r="190" spans="62:64" x14ac:dyDescent="0.25">
      <c r="BJ190" s="122"/>
      <c r="BK190" s="122"/>
      <c r="BL190" s="122"/>
    </row>
    <row r="191" spans="62:64" x14ac:dyDescent="0.25">
      <c r="BJ191" s="122"/>
      <c r="BK191" s="122"/>
      <c r="BL191" s="122"/>
    </row>
    <row r="192" spans="62:64" x14ac:dyDescent="0.25">
      <c r="BJ192" s="122"/>
      <c r="BK192" s="122"/>
      <c r="BL192" s="122"/>
    </row>
    <row r="193" spans="62:64" x14ac:dyDescent="0.25">
      <c r="BJ193" s="122"/>
      <c r="BK193" s="122"/>
      <c r="BL193" s="122"/>
    </row>
    <row r="194" spans="62:64" x14ac:dyDescent="0.25">
      <c r="BJ194" s="122"/>
      <c r="BK194" s="122"/>
      <c r="BL194" s="122"/>
    </row>
    <row r="195" spans="62:64" x14ac:dyDescent="0.25">
      <c r="BJ195" s="122"/>
      <c r="BK195" s="122"/>
      <c r="BL195" s="122"/>
    </row>
    <row r="196" spans="62:64" x14ac:dyDescent="0.25">
      <c r="BJ196" s="122"/>
      <c r="BK196" s="122"/>
      <c r="BL196" s="122"/>
    </row>
    <row r="197" spans="62:64" x14ac:dyDescent="0.25">
      <c r="BJ197" s="122"/>
      <c r="BK197" s="122"/>
      <c r="BL197" s="122"/>
    </row>
    <row r="198" spans="62:64" x14ac:dyDescent="0.25">
      <c r="BJ198" s="122"/>
      <c r="BK198" s="122"/>
      <c r="BL198" s="122"/>
    </row>
    <row r="199" spans="62:64" x14ac:dyDescent="0.25">
      <c r="BJ199" s="122"/>
      <c r="BK199" s="122"/>
      <c r="BL199" s="122"/>
    </row>
    <row r="200" spans="62:64" x14ac:dyDescent="0.25">
      <c r="BJ200" s="122"/>
      <c r="BK200" s="122"/>
      <c r="BL200" s="122"/>
    </row>
    <row r="201" spans="62:64" x14ac:dyDescent="0.25">
      <c r="BJ201" s="122"/>
      <c r="BK201" s="122"/>
      <c r="BL201" s="122"/>
    </row>
    <row r="202" spans="62:64" x14ac:dyDescent="0.25">
      <c r="BJ202" s="122"/>
      <c r="BK202" s="122"/>
      <c r="BL202" s="122"/>
    </row>
    <row r="203" spans="62:64" x14ac:dyDescent="0.25">
      <c r="BJ203" s="122"/>
      <c r="BK203" s="122"/>
      <c r="BL203" s="122"/>
    </row>
    <row r="204" spans="62:64" x14ac:dyDescent="0.25">
      <c r="BJ204" s="122"/>
      <c r="BK204" s="122"/>
      <c r="BL204" s="122"/>
    </row>
    <row r="205" spans="62:64" x14ac:dyDescent="0.25">
      <c r="BJ205" s="122"/>
      <c r="BK205" s="122"/>
      <c r="BL205" s="122"/>
    </row>
    <row r="206" spans="62:64" x14ac:dyDescent="0.25">
      <c r="BJ206" s="122"/>
      <c r="BK206" s="122"/>
      <c r="BL206" s="122"/>
    </row>
    <row r="207" spans="62:64" x14ac:dyDescent="0.25">
      <c r="BJ207" s="122"/>
      <c r="BK207" s="122"/>
      <c r="BL207" s="122"/>
    </row>
    <row r="208" spans="62:64" x14ac:dyDescent="0.25">
      <c r="BJ208" s="122"/>
      <c r="BK208" s="122"/>
      <c r="BL208" s="122"/>
    </row>
    <row r="209" spans="62:64" x14ac:dyDescent="0.25">
      <c r="BJ209" s="122"/>
      <c r="BK209" s="122"/>
      <c r="BL209" s="122"/>
    </row>
    <row r="210" spans="62:64" x14ac:dyDescent="0.25">
      <c r="BJ210" s="122"/>
      <c r="BK210" s="122"/>
      <c r="BL210" s="122"/>
    </row>
    <row r="211" spans="62:64" x14ac:dyDescent="0.25">
      <c r="BJ211" s="122"/>
      <c r="BK211" s="122"/>
      <c r="BL211" s="122"/>
    </row>
    <row r="212" spans="62:64" x14ac:dyDescent="0.25">
      <c r="BJ212" s="122"/>
      <c r="BK212" s="122"/>
      <c r="BL212" s="122"/>
    </row>
    <row r="213" spans="62:64" x14ac:dyDescent="0.25">
      <c r="BJ213" s="122"/>
      <c r="BK213" s="122"/>
      <c r="BL213" s="122"/>
    </row>
    <row r="214" spans="62:64" x14ac:dyDescent="0.25">
      <c r="BJ214" s="122"/>
      <c r="BK214" s="122"/>
      <c r="BL214" s="122"/>
    </row>
    <row r="215" spans="62:64" x14ac:dyDescent="0.25">
      <c r="BJ215" s="122"/>
      <c r="BK215" s="122"/>
      <c r="BL215" s="122"/>
    </row>
    <row r="216" spans="62:64" x14ac:dyDescent="0.25">
      <c r="BJ216" s="122"/>
      <c r="BK216" s="122"/>
      <c r="BL216" s="122"/>
    </row>
    <row r="217" spans="62:64" x14ac:dyDescent="0.25">
      <c r="BJ217" s="122"/>
      <c r="BK217" s="122"/>
      <c r="BL217" s="122"/>
    </row>
    <row r="218" spans="62:64" x14ac:dyDescent="0.25">
      <c r="BJ218" s="122"/>
      <c r="BK218" s="122"/>
      <c r="BL218" s="122"/>
    </row>
    <row r="219" spans="62:64" x14ac:dyDescent="0.25">
      <c r="BJ219" s="122"/>
      <c r="BK219" s="122"/>
      <c r="BL219" s="122"/>
    </row>
    <row r="220" spans="62:64" x14ac:dyDescent="0.25">
      <c r="BJ220" s="122"/>
      <c r="BK220" s="122"/>
      <c r="BL220" s="122"/>
    </row>
    <row r="221" spans="62:64" x14ac:dyDescent="0.25">
      <c r="BJ221" s="122"/>
      <c r="BK221" s="122"/>
      <c r="BL221" s="122"/>
    </row>
    <row r="222" spans="62:64" x14ac:dyDescent="0.25">
      <c r="BJ222" s="122"/>
      <c r="BK222" s="122"/>
      <c r="BL222" s="122"/>
    </row>
    <row r="223" spans="62:64" x14ac:dyDescent="0.25">
      <c r="BJ223" s="122"/>
      <c r="BK223" s="122"/>
      <c r="BL223" s="122"/>
    </row>
    <row r="224" spans="62:64" x14ac:dyDescent="0.25">
      <c r="BJ224" s="122"/>
      <c r="BK224" s="122"/>
      <c r="BL224" s="122"/>
    </row>
    <row r="225" spans="62:64" x14ac:dyDescent="0.25">
      <c r="BJ225" s="122"/>
      <c r="BK225" s="122"/>
      <c r="BL225" s="122"/>
    </row>
    <row r="226" spans="62:64" x14ac:dyDescent="0.25">
      <c r="BJ226" s="122"/>
      <c r="BK226" s="122"/>
      <c r="BL226" s="122"/>
    </row>
    <row r="227" spans="62:64" x14ac:dyDescent="0.25">
      <c r="BJ227" s="122"/>
      <c r="BK227" s="122"/>
      <c r="BL227" s="122"/>
    </row>
    <row r="228" spans="62:64" x14ac:dyDescent="0.25">
      <c r="BJ228" s="122"/>
      <c r="BK228" s="122"/>
      <c r="BL228" s="122"/>
    </row>
    <row r="229" spans="62:64" x14ac:dyDescent="0.25">
      <c r="BJ229" s="122"/>
      <c r="BK229" s="122"/>
      <c r="BL229" s="122"/>
    </row>
    <row r="230" spans="62:64" x14ac:dyDescent="0.25">
      <c r="BJ230" s="122"/>
      <c r="BK230" s="122"/>
      <c r="BL230" s="122"/>
    </row>
    <row r="231" spans="62:64" x14ac:dyDescent="0.25">
      <c r="BJ231" s="122"/>
      <c r="BK231" s="122"/>
      <c r="BL231" s="122"/>
    </row>
    <row r="232" spans="62:64" x14ac:dyDescent="0.25">
      <c r="BJ232" s="122"/>
      <c r="BK232" s="122"/>
      <c r="BL232" s="122"/>
    </row>
    <row r="233" spans="62:64" x14ac:dyDescent="0.25">
      <c r="BJ233" s="122"/>
      <c r="BK233" s="122"/>
      <c r="BL233" s="122"/>
    </row>
    <row r="234" spans="62:64" x14ac:dyDescent="0.25">
      <c r="BJ234" s="122"/>
      <c r="BK234" s="122"/>
      <c r="BL234" s="122"/>
    </row>
    <row r="235" spans="62:64" x14ac:dyDescent="0.25">
      <c r="BJ235" s="122"/>
      <c r="BK235" s="122"/>
      <c r="BL235" s="122"/>
    </row>
    <row r="236" spans="62:64" x14ac:dyDescent="0.25">
      <c r="BJ236" s="122"/>
      <c r="BK236" s="122"/>
      <c r="BL236" s="122"/>
    </row>
    <row r="237" spans="62:64" x14ac:dyDescent="0.25">
      <c r="BJ237" s="122"/>
      <c r="BK237" s="122"/>
      <c r="BL237" s="122"/>
    </row>
    <row r="238" spans="62:64" x14ac:dyDescent="0.25">
      <c r="BJ238" s="122"/>
      <c r="BK238" s="122"/>
      <c r="BL238" s="122"/>
    </row>
    <row r="239" spans="62:64" x14ac:dyDescent="0.25">
      <c r="BJ239" s="122"/>
      <c r="BK239" s="122"/>
      <c r="BL239" s="122"/>
    </row>
    <row r="240" spans="62:64" x14ac:dyDescent="0.25">
      <c r="BJ240" s="122"/>
      <c r="BK240" s="122"/>
      <c r="BL240" s="122"/>
    </row>
    <row r="241" spans="62:64" x14ac:dyDescent="0.25">
      <c r="BJ241" s="122"/>
      <c r="BK241" s="122"/>
      <c r="BL241" s="122"/>
    </row>
    <row r="242" spans="62:64" x14ac:dyDescent="0.25">
      <c r="BJ242" s="122"/>
      <c r="BK242" s="122"/>
      <c r="BL242" s="122"/>
    </row>
    <row r="243" spans="62:64" x14ac:dyDescent="0.25">
      <c r="BJ243" s="122"/>
      <c r="BK243" s="122"/>
      <c r="BL243" s="122"/>
    </row>
    <row r="244" spans="62:64" x14ac:dyDescent="0.25">
      <c r="BJ244" s="122"/>
      <c r="BK244" s="122"/>
      <c r="BL244" s="122"/>
    </row>
    <row r="245" spans="62:64" x14ac:dyDescent="0.25">
      <c r="BJ245" s="122"/>
      <c r="BK245" s="122"/>
      <c r="BL245" s="122"/>
    </row>
    <row r="246" spans="62:64" x14ac:dyDescent="0.25">
      <c r="BJ246" s="122"/>
      <c r="BK246" s="122"/>
      <c r="BL246" s="122"/>
    </row>
    <row r="247" spans="62:64" x14ac:dyDescent="0.25">
      <c r="BJ247" s="122"/>
      <c r="BK247" s="122"/>
      <c r="BL247" s="122"/>
    </row>
    <row r="248" spans="62:64" x14ac:dyDescent="0.25">
      <c r="BJ248" s="122"/>
      <c r="BK248" s="122"/>
      <c r="BL248" s="122"/>
    </row>
    <row r="249" spans="62:64" x14ac:dyDescent="0.25">
      <c r="BJ249" s="122"/>
      <c r="BK249" s="122"/>
      <c r="BL249" s="122"/>
    </row>
    <row r="250" spans="62:64" x14ac:dyDescent="0.25">
      <c r="BJ250" s="122"/>
      <c r="BK250" s="122"/>
      <c r="BL250" s="122"/>
    </row>
    <row r="251" spans="62:64" x14ac:dyDescent="0.25">
      <c r="BJ251" s="122"/>
      <c r="BK251" s="122"/>
      <c r="BL251" s="122"/>
    </row>
    <row r="252" spans="62:64" x14ac:dyDescent="0.25">
      <c r="BJ252" s="122"/>
      <c r="BK252" s="122"/>
      <c r="BL252" s="122"/>
    </row>
    <row r="253" spans="62:64" x14ac:dyDescent="0.25">
      <c r="BJ253" s="122"/>
      <c r="BK253" s="122"/>
      <c r="BL253" s="122"/>
    </row>
    <row r="254" spans="62:64" x14ac:dyDescent="0.25">
      <c r="BJ254" s="122"/>
      <c r="BK254" s="122"/>
      <c r="BL254" s="122"/>
    </row>
    <row r="255" spans="62:64" x14ac:dyDescent="0.25">
      <c r="BJ255" s="122"/>
      <c r="BK255" s="122"/>
      <c r="BL255" s="122"/>
    </row>
    <row r="256" spans="62:64" x14ac:dyDescent="0.25">
      <c r="BJ256" s="122"/>
      <c r="BK256" s="122"/>
      <c r="BL256" s="122"/>
    </row>
    <row r="257" spans="62:64" x14ac:dyDescent="0.25">
      <c r="BJ257" s="122"/>
      <c r="BK257" s="122"/>
      <c r="BL257" s="122"/>
    </row>
    <row r="258" spans="62:64" x14ac:dyDescent="0.25">
      <c r="BJ258" s="122"/>
      <c r="BK258" s="122"/>
      <c r="BL258" s="122"/>
    </row>
    <row r="259" spans="62:64" x14ac:dyDescent="0.25">
      <c r="BJ259" s="122"/>
      <c r="BK259" s="122"/>
      <c r="BL259" s="122"/>
    </row>
    <row r="260" spans="62:64" x14ac:dyDescent="0.25">
      <c r="BJ260" s="122"/>
      <c r="BK260" s="122"/>
      <c r="BL260" s="122"/>
    </row>
    <row r="261" spans="62:64" x14ac:dyDescent="0.25">
      <c r="BJ261" s="122"/>
      <c r="BK261" s="122"/>
      <c r="BL261" s="122"/>
    </row>
    <row r="262" spans="62:64" x14ac:dyDescent="0.25">
      <c r="BJ262" s="122"/>
      <c r="BK262" s="122"/>
      <c r="BL262" s="122"/>
    </row>
    <row r="263" spans="62:64" x14ac:dyDescent="0.25">
      <c r="BJ263" s="122"/>
      <c r="BK263" s="122"/>
      <c r="BL263" s="122"/>
    </row>
    <row r="264" spans="62:64" x14ac:dyDescent="0.25">
      <c r="BJ264" s="122"/>
      <c r="BK264" s="122"/>
      <c r="BL264" s="122"/>
    </row>
    <row r="265" spans="62:64" x14ac:dyDescent="0.25">
      <c r="BJ265" s="122"/>
      <c r="BK265" s="122"/>
      <c r="BL265" s="122"/>
    </row>
    <row r="266" spans="62:64" x14ac:dyDescent="0.25">
      <c r="BJ266" s="122"/>
      <c r="BK266" s="122"/>
      <c r="BL266" s="122"/>
    </row>
    <row r="267" spans="62:64" x14ac:dyDescent="0.25">
      <c r="BJ267" s="122"/>
      <c r="BK267" s="122"/>
      <c r="BL267" s="122"/>
    </row>
    <row r="268" spans="62:64" x14ac:dyDescent="0.25">
      <c r="BJ268" s="122"/>
      <c r="BK268" s="122"/>
      <c r="BL268" s="122"/>
    </row>
    <row r="269" spans="62:64" x14ac:dyDescent="0.25">
      <c r="BJ269" s="122"/>
      <c r="BK269" s="122"/>
      <c r="BL269" s="122"/>
    </row>
    <row r="270" spans="62:64" x14ac:dyDescent="0.25">
      <c r="BJ270" s="122"/>
      <c r="BK270" s="122"/>
      <c r="BL270" s="122"/>
    </row>
    <row r="271" spans="62:64" x14ac:dyDescent="0.25">
      <c r="BJ271" s="122"/>
      <c r="BK271" s="122"/>
      <c r="BL271" s="122"/>
    </row>
    <row r="272" spans="62:64" x14ac:dyDescent="0.25">
      <c r="BJ272" s="122"/>
      <c r="BK272" s="122"/>
      <c r="BL272" s="122"/>
    </row>
    <row r="273" spans="62:64" x14ac:dyDescent="0.25">
      <c r="BJ273" s="122"/>
      <c r="BK273" s="122"/>
      <c r="BL273" s="122"/>
    </row>
    <row r="274" spans="62:64" x14ac:dyDescent="0.25">
      <c r="BJ274" s="122"/>
      <c r="BK274" s="122"/>
      <c r="BL274" s="122"/>
    </row>
    <row r="275" spans="62:64" x14ac:dyDescent="0.25">
      <c r="BJ275" s="122"/>
      <c r="BK275" s="122"/>
      <c r="BL275" s="122"/>
    </row>
    <row r="276" spans="62:64" x14ac:dyDescent="0.25">
      <c r="BJ276" s="122"/>
      <c r="BK276" s="122"/>
      <c r="BL276" s="122"/>
    </row>
    <row r="277" spans="62:64" x14ac:dyDescent="0.25">
      <c r="BJ277" s="122"/>
      <c r="BK277" s="122"/>
      <c r="BL277" s="122"/>
    </row>
    <row r="278" spans="62:64" x14ac:dyDescent="0.25">
      <c r="BJ278" s="122"/>
      <c r="BK278" s="122"/>
      <c r="BL278" s="122"/>
    </row>
    <row r="279" spans="62:64" x14ac:dyDescent="0.25">
      <c r="BJ279" s="122"/>
      <c r="BK279" s="122"/>
      <c r="BL279" s="122"/>
    </row>
    <row r="280" spans="62:64" x14ac:dyDescent="0.25">
      <c r="BJ280" s="122"/>
      <c r="BK280" s="122"/>
      <c r="BL280" s="122"/>
    </row>
    <row r="281" spans="62:64" x14ac:dyDescent="0.25">
      <c r="BJ281" s="122"/>
      <c r="BK281" s="122"/>
      <c r="BL281" s="122"/>
    </row>
    <row r="282" spans="62:64" x14ac:dyDescent="0.25">
      <c r="BJ282" s="122"/>
      <c r="BK282" s="122"/>
      <c r="BL282" s="122"/>
    </row>
    <row r="283" spans="62:64" x14ac:dyDescent="0.25">
      <c r="BJ283" s="122"/>
      <c r="BK283" s="122"/>
      <c r="BL283" s="122"/>
    </row>
    <row r="284" spans="62:64" x14ac:dyDescent="0.25">
      <c r="BJ284" s="122"/>
      <c r="BK284" s="122"/>
      <c r="BL284" s="122"/>
    </row>
    <row r="285" spans="62:64" x14ac:dyDescent="0.25">
      <c r="BJ285" s="122"/>
      <c r="BK285" s="122"/>
      <c r="BL285" s="122"/>
    </row>
    <row r="286" spans="62:64" x14ac:dyDescent="0.25">
      <c r="BJ286" s="122"/>
      <c r="BK286" s="122"/>
      <c r="BL286" s="122"/>
    </row>
    <row r="287" spans="62:64" x14ac:dyDescent="0.25">
      <c r="BJ287" s="122"/>
      <c r="BK287" s="122"/>
      <c r="BL287" s="122"/>
    </row>
    <row r="288" spans="62:64" x14ac:dyDescent="0.25">
      <c r="BJ288" s="122"/>
      <c r="BK288" s="122"/>
      <c r="BL288" s="122"/>
    </row>
    <row r="289" spans="62:64" x14ac:dyDescent="0.25">
      <c r="BJ289" s="122"/>
      <c r="BK289" s="122"/>
      <c r="BL289" s="122"/>
    </row>
    <row r="290" spans="62:64" x14ac:dyDescent="0.25">
      <c r="BJ290" s="122"/>
      <c r="BK290" s="122"/>
      <c r="BL290" s="122"/>
    </row>
    <row r="291" spans="62:64" x14ac:dyDescent="0.25">
      <c r="BJ291" s="122"/>
      <c r="BK291" s="122"/>
      <c r="BL291" s="122"/>
    </row>
    <row r="292" spans="62:64" x14ac:dyDescent="0.25">
      <c r="BJ292" s="122"/>
      <c r="BK292" s="122"/>
      <c r="BL292" s="122"/>
    </row>
    <row r="293" spans="62:64" x14ac:dyDescent="0.25">
      <c r="BJ293" s="122"/>
      <c r="BK293" s="122"/>
      <c r="BL293" s="122"/>
    </row>
    <row r="294" spans="62:64" x14ac:dyDescent="0.25">
      <c r="BJ294" s="122"/>
      <c r="BK294" s="122"/>
      <c r="BL294" s="122"/>
    </row>
    <row r="295" spans="62:64" x14ac:dyDescent="0.25">
      <c r="BJ295" s="122"/>
      <c r="BK295" s="122"/>
      <c r="BL295" s="122"/>
    </row>
    <row r="296" spans="62:64" x14ac:dyDescent="0.25">
      <c r="BJ296" s="122"/>
      <c r="BK296" s="122"/>
      <c r="BL296" s="122"/>
    </row>
    <row r="297" spans="62:64" x14ac:dyDescent="0.25">
      <c r="BJ297" s="122"/>
      <c r="BK297" s="122"/>
      <c r="BL297" s="122"/>
    </row>
    <row r="298" spans="62:64" x14ac:dyDescent="0.25">
      <c r="BJ298" s="122"/>
      <c r="BK298" s="122"/>
      <c r="BL298" s="122"/>
    </row>
    <row r="299" spans="62:64" x14ac:dyDescent="0.25">
      <c r="BJ299" s="122"/>
      <c r="BK299" s="122"/>
      <c r="BL299" s="122"/>
    </row>
    <row r="300" spans="62:64" x14ac:dyDescent="0.25">
      <c r="BJ300" s="122"/>
      <c r="BK300" s="122"/>
      <c r="BL300" s="122"/>
    </row>
    <row r="301" spans="62:64" x14ac:dyDescent="0.25">
      <c r="BJ301" s="122"/>
      <c r="BK301" s="122"/>
      <c r="BL301" s="122"/>
    </row>
    <row r="302" spans="62:64" x14ac:dyDescent="0.25">
      <c r="BJ302" s="122"/>
      <c r="BK302" s="122"/>
      <c r="BL302" s="122"/>
    </row>
    <row r="303" spans="62:64" x14ac:dyDescent="0.25">
      <c r="BJ303" s="122"/>
      <c r="BK303" s="122"/>
      <c r="BL303" s="122"/>
    </row>
    <row r="304" spans="62:64" x14ac:dyDescent="0.25">
      <c r="BJ304" s="122"/>
      <c r="BK304" s="122"/>
      <c r="BL304" s="122"/>
    </row>
    <row r="305" spans="62:64" x14ac:dyDescent="0.25">
      <c r="BJ305" s="122"/>
      <c r="BK305" s="122"/>
      <c r="BL305" s="122"/>
    </row>
    <row r="306" spans="62:64" x14ac:dyDescent="0.25">
      <c r="BJ306" s="122"/>
      <c r="BK306" s="122"/>
      <c r="BL306" s="122"/>
    </row>
    <row r="307" spans="62:64" x14ac:dyDescent="0.25">
      <c r="BJ307" s="122"/>
      <c r="BK307" s="122"/>
      <c r="BL307" s="122"/>
    </row>
    <row r="308" spans="62:64" x14ac:dyDescent="0.25">
      <c r="BJ308" s="122"/>
      <c r="BK308" s="122"/>
      <c r="BL308" s="122"/>
    </row>
    <row r="309" spans="62:64" x14ac:dyDescent="0.25">
      <c r="BJ309" s="122"/>
      <c r="BK309" s="122"/>
      <c r="BL309" s="122"/>
    </row>
    <row r="310" spans="62:64" x14ac:dyDescent="0.25">
      <c r="BJ310" s="122"/>
      <c r="BK310" s="122"/>
      <c r="BL310" s="122"/>
    </row>
    <row r="311" spans="62:64" x14ac:dyDescent="0.25">
      <c r="BJ311" s="122"/>
      <c r="BK311" s="122"/>
      <c r="BL311" s="122"/>
    </row>
    <row r="312" spans="62:64" x14ac:dyDescent="0.25">
      <c r="BJ312" s="122"/>
      <c r="BK312" s="122"/>
      <c r="BL312" s="122"/>
    </row>
    <row r="313" spans="62:64" x14ac:dyDescent="0.25">
      <c r="BJ313" s="122"/>
      <c r="BK313" s="122"/>
      <c r="BL313" s="122"/>
    </row>
    <row r="314" spans="62:64" x14ac:dyDescent="0.25">
      <c r="BJ314" s="122"/>
      <c r="BK314" s="122"/>
      <c r="BL314" s="122"/>
    </row>
    <row r="315" spans="62:64" x14ac:dyDescent="0.25">
      <c r="BJ315" s="122"/>
      <c r="BK315" s="122"/>
      <c r="BL315" s="122"/>
    </row>
    <row r="316" spans="62:64" x14ac:dyDescent="0.25">
      <c r="BJ316" s="122"/>
      <c r="BK316" s="122"/>
      <c r="BL316" s="122"/>
    </row>
    <row r="317" spans="62:64" x14ac:dyDescent="0.25">
      <c r="BJ317" s="122"/>
      <c r="BK317" s="122"/>
      <c r="BL317" s="122"/>
    </row>
    <row r="318" spans="62:64" x14ac:dyDescent="0.25">
      <c r="BJ318" s="122"/>
      <c r="BK318" s="122"/>
      <c r="BL318" s="122"/>
    </row>
    <row r="319" spans="62:64" x14ac:dyDescent="0.25">
      <c r="BJ319" s="122"/>
      <c r="BK319" s="122"/>
      <c r="BL319" s="122"/>
    </row>
    <row r="320" spans="62:64" x14ac:dyDescent="0.25">
      <c r="BJ320" s="122"/>
      <c r="BK320" s="122"/>
      <c r="BL320" s="122"/>
    </row>
    <row r="321" spans="62:64" x14ac:dyDescent="0.25">
      <c r="BJ321" s="122"/>
      <c r="BK321" s="122"/>
      <c r="BL321" s="122"/>
    </row>
    <row r="322" spans="62:64" x14ac:dyDescent="0.25">
      <c r="BJ322" s="122"/>
      <c r="BK322" s="122"/>
      <c r="BL322" s="122"/>
    </row>
    <row r="323" spans="62:64" x14ac:dyDescent="0.25">
      <c r="BJ323" s="122"/>
      <c r="BK323" s="122"/>
      <c r="BL323" s="122"/>
    </row>
    <row r="324" spans="62:64" x14ac:dyDescent="0.25">
      <c r="BJ324" s="122"/>
      <c r="BK324" s="122"/>
      <c r="BL324" s="122"/>
    </row>
    <row r="325" spans="62:64" x14ac:dyDescent="0.25">
      <c r="BJ325" s="122"/>
      <c r="BK325" s="122"/>
      <c r="BL325" s="122"/>
    </row>
    <row r="326" spans="62:64" x14ac:dyDescent="0.25">
      <c r="BJ326" s="122"/>
      <c r="BK326" s="122"/>
      <c r="BL326" s="122"/>
    </row>
    <row r="327" spans="62:64" x14ac:dyDescent="0.25">
      <c r="BJ327" s="122"/>
      <c r="BK327" s="122"/>
      <c r="BL327" s="122"/>
    </row>
    <row r="328" spans="62:64" x14ac:dyDescent="0.25">
      <c r="BJ328" s="122"/>
      <c r="BK328" s="122"/>
      <c r="BL328" s="122"/>
    </row>
    <row r="329" spans="62:64" x14ac:dyDescent="0.25">
      <c r="BJ329" s="122"/>
      <c r="BK329" s="122"/>
      <c r="BL329" s="122"/>
    </row>
    <row r="330" spans="62:64" x14ac:dyDescent="0.25">
      <c r="BJ330" s="122"/>
      <c r="BK330" s="122"/>
      <c r="BL330" s="122"/>
    </row>
    <row r="331" spans="62:64" x14ac:dyDescent="0.25">
      <c r="BJ331" s="122"/>
      <c r="BK331" s="122"/>
      <c r="BL331" s="122"/>
    </row>
    <row r="332" spans="62:64" x14ac:dyDescent="0.25">
      <c r="BJ332" s="122"/>
      <c r="BK332" s="122"/>
      <c r="BL332" s="122"/>
    </row>
    <row r="333" spans="62:64" x14ac:dyDescent="0.25">
      <c r="BJ333" s="122"/>
      <c r="BK333" s="122"/>
      <c r="BL333" s="122"/>
    </row>
    <row r="334" spans="62:64" x14ac:dyDescent="0.25">
      <c r="BJ334" s="122"/>
      <c r="BK334" s="122"/>
      <c r="BL334" s="122"/>
    </row>
    <row r="335" spans="62:64" x14ac:dyDescent="0.25">
      <c r="BJ335" s="122"/>
      <c r="BK335" s="122"/>
      <c r="BL335" s="122"/>
    </row>
    <row r="336" spans="62:64" x14ac:dyDescent="0.25">
      <c r="BJ336" s="122"/>
      <c r="BK336" s="122"/>
      <c r="BL336" s="122"/>
    </row>
    <row r="337" spans="62:64" x14ac:dyDescent="0.25">
      <c r="BJ337" s="122"/>
      <c r="BK337" s="122"/>
      <c r="BL337" s="122"/>
    </row>
    <row r="338" spans="62:64" x14ac:dyDescent="0.25">
      <c r="BJ338" s="122"/>
      <c r="BK338" s="122"/>
      <c r="BL338" s="122"/>
    </row>
    <row r="339" spans="62:64" x14ac:dyDescent="0.25">
      <c r="BJ339" s="122"/>
      <c r="BK339" s="122"/>
      <c r="BL339" s="122"/>
    </row>
    <row r="340" spans="62:64" x14ac:dyDescent="0.25">
      <c r="BJ340" s="122"/>
      <c r="BK340" s="122"/>
      <c r="BL340" s="122"/>
    </row>
    <row r="341" spans="62:64" x14ac:dyDescent="0.25">
      <c r="BJ341" s="122"/>
      <c r="BK341" s="122"/>
      <c r="BL341" s="122"/>
    </row>
    <row r="342" spans="62:64" x14ac:dyDescent="0.25">
      <c r="BJ342" s="122"/>
      <c r="BK342" s="122"/>
      <c r="BL342" s="122"/>
    </row>
    <row r="343" spans="62:64" x14ac:dyDescent="0.25">
      <c r="BJ343" s="122"/>
      <c r="BK343" s="122"/>
      <c r="BL343" s="122"/>
    </row>
    <row r="344" spans="62:64" x14ac:dyDescent="0.25">
      <c r="BJ344" s="122"/>
      <c r="BK344" s="122"/>
      <c r="BL344" s="122"/>
    </row>
    <row r="345" spans="62:64" x14ac:dyDescent="0.25">
      <c r="BJ345" s="122"/>
      <c r="BK345" s="122"/>
      <c r="BL345" s="122"/>
    </row>
    <row r="346" spans="62:64" x14ac:dyDescent="0.25">
      <c r="BJ346" s="122"/>
      <c r="BK346" s="122"/>
      <c r="BL346" s="122"/>
    </row>
    <row r="347" spans="62:64" x14ac:dyDescent="0.25">
      <c r="BJ347" s="122"/>
      <c r="BK347" s="122"/>
      <c r="BL347" s="122"/>
    </row>
    <row r="348" spans="62:64" x14ac:dyDescent="0.25">
      <c r="BJ348" s="122"/>
      <c r="BK348" s="122"/>
      <c r="BL348" s="122"/>
    </row>
    <row r="349" spans="62:64" x14ac:dyDescent="0.25">
      <c r="BJ349" s="122"/>
      <c r="BK349" s="122"/>
      <c r="BL349" s="122"/>
    </row>
    <row r="350" spans="62:64" x14ac:dyDescent="0.25">
      <c r="BJ350" s="122"/>
      <c r="BK350" s="122"/>
      <c r="BL350" s="122"/>
    </row>
    <row r="351" spans="62:64" x14ac:dyDescent="0.25">
      <c r="BJ351" s="122"/>
      <c r="BK351" s="122"/>
      <c r="BL351" s="122"/>
    </row>
    <row r="352" spans="62:64" x14ac:dyDescent="0.25">
      <c r="BJ352" s="122"/>
      <c r="BK352" s="122"/>
      <c r="BL352" s="122"/>
    </row>
    <row r="353" spans="62:64" x14ac:dyDescent="0.25">
      <c r="BJ353" s="122"/>
      <c r="BK353" s="122"/>
      <c r="BL353" s="122"/>
    </row>
    <row r="354" spans="62:64" x14ac:dyDescent="0.25">
      <c r="BJ354" s="122"/>
      <c r="BK354" s="122"/>
      <c r="BL354" s="122"/>
    </row>
    <row r="355" spans="62:64" x14ac:dyDescent="0.25">
      <c r="BJ355" s="122"/>
      <c r="BK355" s="122"/>
      <c r="BL355" s="122"/>
    </row>
    <row r="356" spans="62:64" x14ac:dyDescent="0.25">
      <c r="BJ356" s="122"/>
      <c r="BK356" s="122"/>
      <c r="BL356" s="122"/>
    </row>
    <row r="357" spans="62:64" x14ac:dyDescent="0.25">
      <c r="BJ357" s="122"/>
      <c r="BK357" s="122"/>
      <c r="BL357" s="122"/>
    </row>
    <row r="358" spans="62:64" x14ac:dyDescent="0.25">
      <c r="BJ358" s="122"/>
      <c r="BK358" s="122"/>
      <c r="BL358" s="122"/>
    </row>
    <row r="359" spans="62:64" x14ac:dyDescent="0.25">
      <c r="BJ359" s="122"/>
      <c r="BK359" s="122"/>
      <c r="BL359" s="122"/>
    </row>
    <row r="360" spans="62:64" x14ac:dyDescent="0.25">
      <c r="BJ360" s="122"/>
      <c r="BK360" s="122"/>
      <c r="BL360" s="122"/>
    </row>
    <row r="361" spans="62:64" x14ac:dyDescent="0.25">
      <c r="BJ361" s="122"/>
      <c r="BK361" s="122"/>
      <c r="BL361" s="122"/>
    </row>
    <row r="362" spans="62:64" x14ac:dyDescent="0.25">
      <c r="BJ362" s="122"/>
      <c r="BK362" s="122"/>
      <c r="BL362" s="122"/>
    </row>
    <row r="363" spans="62:64" x14ac:dyDescent="0.25">
      <c r="BJ363" s="122"/>
      <c r="BK363" s="122"/>
      <c r="BL363" s="122"/>
    </row>
    <row r="364" spans="62:64" x14ac:dyDescent="0.25">
      <c r="BJ364" s="122"/>
      <c r="BK364" s="122"/>
      <c r="BL364" s="122"/>
    </row>
    <row r="365" spans="62:64" x14ac:dyDescent="0.25">
      <c r="BJ365" s="122"/>
      <c r="BK365" s="122"/>
      <c r="BL365" s="122"/>
    </row>
    <row r="366" spans="62:64" x14ac:dyDescent="0.25">
      <c r="BJ366" s="122"/>
      <c r="BK366" s="122"/>
      <c r="BL366" s="122"/>
    </row>
    <row r="367" spans="62:64" x14ac:dyDescent="0.25">
      <c r="BJ367" s="122"/>
      <c r="BK367" s="122"/>
      <c r="BL367" s="122"/>
    </row>
    <row r="368" spans="62:64" x14ac:dyDescent="0.25">
      <c r="BJ368" s="122"/>
      <c r="BK368" s="122"/>
      <c r="BL368" s="122"/>
    </row>
    <row r="369" spans="62:64" x14ac:dyDescent="0.25">
      <c r="BJ369" s="122"/>
      <c r="BK369" s="122"/>
      <c r="BL369" s="122"/>
    </row>
    <row r="370" spans="62:64" x14ac:dyDescent="0.25">
      <c r="BJ370" s="122"/>
      <c r="BK370" s="122"/>
      <c r="BL370" s="122"/>
    </row>
    <row r="371" spans="62:64" x14ac:dyDescent="0.25">
      <c r="BJ371" s="122"/>
      <c r="BK371" s="122"/>
      <c r="BL371" s="122"/>
    </row>
    <row r="372" spans="62:64" x14ac:dyDescent="0.25">
      <c r="BJ372" s="122"/>
      <c r="BK372" s="122"/>
      <c r="BL372" s="122"/>
    </row>
    <row r="373" spans="62:64" x14ac:dyDescent="0.25">
      <c r="BJ373" s="122"/>
      <c r="BK373" s="122"/>
      <c r="BL373" s="122"/>
    </row>
    <row r="374" spans="62:64" x14ac:dyDescent="0.25">
      <c r="BJ374" s="122"/>
      <c r="BK374" s="122"/>
      <c r="BL374" s="122"/>
    </row>
    <row r="375" spans="62:64" x14ac:dyDescent="0.25">
      <c r="BJ375" s="122"/>
      <c r="BK375" s="122"/>
      <c r="BL375" s="122"/>
    </row>
    <row r="376" spans="62:64" x14ac:dyDescent="0.25">
      <c r="BJ376" s="122"/>
      <c r="BK376" s="122"/>
      <c r="BL376" s="122"/>
    </row>
    <row r="377" spans="62:64" x14ac:dyDescent="0.25">
      <c r="BJ377" s="122"/>
      <c r="BK377" s="122"/>
      <c r="BL377" s="122"/>
    </row>
    <row r="378" spans="62:64" x14ac:dyDescent="0.25">
      <c r="BJ378" s="122"/>
      <c r="BK378" s="122"/>
      <c r="BL378" s="122"/>
    </row>
    <row r="379" spans="62:64" x14ac:dyDescent="0.25">
      <c r="BJ379" s="122"/>
      <c r="BK379" s="122"/>
      <c r="BL379" s="122"/>
    </row>
    <row r="380" spans="62:64" x14ac:dyDescent="0.25">
      <c r="BJ380" s="122"/>
      <c r="BK380" s="122"/>
      <c r="BL380" s="122"/>
    </row>
    <row r="381" spans="62:64" x14ac:dyDescent="0.25">
      <c r="BJ381" s="122"/>
      <c r="BK381" s="122"/>
      <c r="BL381" s="122"/>
    </row>
    <row r="382" spans="62:64" x14ac:dyDescent="0.25">
      <c r="BJ382" s="122"/>
      <c r="BK382" s="122"/>
      <c r="BL382" s="122"/>
    </row>
    <row r="383" spans="62:64" x14ac:dyDescent="0.25">
      <c r="BJ383" s="122"/>
      <c r="BK383" s="122"/>
      <c r="BL383" s="122"/>
    </row>
    <row r="384" spans="62:64" x14ac:dyDescent="0.25">
      <c r="BJ384" s="122"/>
      <c r="BK384" s="122"/>
      <c r="BL384" s="122"/>
    </row>
    <row r="385" spans="62:64" x14ac:dyDescent="0.25">
      <c r="BJ385" s="122"/>
      <c r="BK385" s="122"/>
      <c r="BL385" s="122"/>
    </row>
    <row r="386" spans="62:64" x14ac:dyDescent="0.25">
      <c r="BJ386" s="122"/>
      <c r="BK386" s="122"/>
      <c r="BL386" s="122"/>
    </row>
    <row r="387" spans="62:64" x14ac:dyDescent="0.25">
      <c r="BJ387" s="122"/>
      <c r="BK387" s="122"/>
      <c r="BL387" s="122"/>
    </row>
    <row r="388" spans="62:64" x14ac:dyDescent="0.25">
      <c r="BJ388" s="122"/>
      <c r="BK388" s="122"/>
      <c r="BL388" s="122"/>
    </row>
    <row r="389" spans="62:64" x14ac:dyDescent="0.25">
      <c r="BJ389" s="122"/>
      <c r="BK389" s="122"/>
      <c r="BL389" s="122"/>
    </row>
    <row r="390" spans="62:64" x14ac:dyDescent="0.25">
      <c r="BJ390" s="122"/>
      <c r="BK390" s="122"/>
      <c r="BL390" s="122"/>
    </row>
    <row r="391" spans="62:64" x14ac:dyDescent="0.25">
      <c r="BJ391" s="122"/>
      <c r="BK391" s="122"/>
      <c r="BL391" s="122"/>
    </row>
    <row r="392" spans="62:64" x14ac:dyDescent="0.25">
      <c r="BJ392" s="122"/>
      <c r="BK392" s="122"/>
      <c r="BL392" s="122"/>
    </row>
    <row r="393" spans="62:64" x14ac:dyDescent="0.25">
      <c r="BJ393" s="122"/>
      <c r="BK393" s="122"/>
      <c r="BL393" s="122"/>
    </row>
    <row r="394" spans="62:64" x14ac:dyDescent="0.25">
      <c r="BJ394" s="122"/>
      <c r="BK394" s="122"/>
      <c r="BL394" s="122"/>
    </row>
    <row r="395" spans="62:64" x14ac:dyDescent="0.25">
      <c r="BJ395" s="122"/>
      <c r="BK395" s="122"/>
      <c r="BL395" s="122"/>
    </row>
    <row r="396" spans="62:64" x14ac:dyDescent="0.25">
      <c r="BJ396" s="122"/>
      <c r="BK396" s="122"/>
      <c r="BL396" s="122"/>
    </row>
    <row r="397" spans="62:64" x14ac:dyDescent="0.25">
      <c r="BJ397" s="122"/>
      <c r="BK397" s="122"/>
      <c r="BL397" s="122"/>
    </row>
    <row r="398" spans="62:64" x14ac:dyDescent="0.25">
      <c r="BJ398" s="122"/>
      <c r="BK398" s="122"/>
      <c r="BL398" s="122"/>
    </row>
    <row r="399" spans="62:64" x14ac:dyDescent="0.25">
      <c r="BJ399" s="122"/>
      <c r="BK399" s="122"/>
      <c r="BL399" s="122"/>
    </row>
    <row r="400" spans="62:64" x14ac:dyDescent="0.25">
      <c r="BJ400" s="122"/>
      <c r="BK400" s="122"/>
      <c r="BL400" s="122"/>
    </row>
    <row r="401" spans="62:64" x14ac:dyDescent="0.25">
      <c r="BJ401" s="122"/>
      <c r="BK401" s="122"/>
      <c r="BL401" s="122"/>
    </row>
    <row r="402" spans="62:64" x14ac:dyDescent="0.25">
      <c r="BJ402" s="122"/>
      <c r="BK402" s="122"/>
      <c r="BL402" s="122"/>
    </row>
    <row r="403" spans="62:64" x14ac:dyDescent="0.25">
      <c r="BJ403" s="122"/>
      <c r="BK403" s="122"/>
      <c r="BL403" s="122"/>
    </row>
    <row r="404" spans="62:64" x14ac:dyDescent="0.25">
      <c r="BJ404" s="122"/>
      <c r="BK404" s="122"/>
      <c r="BL404" s="122"/>
    </row>
    <row r="405" spans="62:64" x14ac:dyDescent="0.25">
      <c r="BJ405" s="122"/>
      <c r="BK405" s="122"/>
      <c r="BL405" s="122"/>
    </row>
    <row r="406" spans="62:64" x14ac:dyDescent="0.25">
      <c r="BJ406" s="122"/>
      <c r="BK406" s="122"/>
      <c r="BL406" s="122"/>
    </row>
    <row r="407" spans="62:64" x14ac:dyDescent="0.25">
      <c r="BJ407" s="122"/>
      <c r="BK407" s="122"/>
      <c r="BL407" s="122"/>
    </row>
    <row r="408" spans="62:64" x14ac:dyDescent="0.25">
      <c r="BJ408" s="122"/>
      <c r="BK408" s="122"/>
      <c r="BL408" s="122"/>
    </row>
    <row r="409" spans="62:64" x14ac:dyDescent="0.25">
      <c r="BJ409" s="122"/>
      <c r="BK409" s="122"/>
      <c r="BL409" s="122"/>
    </row>
    <row r="410" spans="62:64" x14ac:dyDescent="0.25">
      <c r="BJ410" s="122"/>
      <c r="BK410" s="122"/>
      <c r="BL410" s="122"/>
    </row>
    <row r="411" spans="62:64" x14ac:dyDescent="0.25">
      <c r="BJ411" s="122"/>
      <c r="BK411" s="122"/>
      <c r="BL411" s="122"/>
    </row>
    <row r="412" spans="62:64" x14ac:dyDescent="0.25">
      <c r="BJ412" s="122"/>
      <c r="BK412" s="122"/>
      <c r="BL412" s="122"/>
    </row>
    <row r="413" spans="62:64" x14ac:dyDescent="0.25">
      <c r="BJ413" s="122"/>
      <c r="BK413" s="122"/>
      <c r="BL413" s="122"/>
    </row>
    <row r="414" spans="62:64" x14ac:dyDescent="0.25">
      <c r="BJ414" s="122"/>
      <c r="BK414" s="122"/>
      <c r="BL414" s="122"/>
    </row>
    <row r="415" spans="62:64" x14ac:dyDescent="0.25">
      <c r="BJ415" s="122"/>
      <c r="BK415" s="122"/>
      <c r="BL415" s="122"/>
    </row>
    <row r="416" spans="62:64" x14ac:dyDescent="0.25">
      <c r="BJ416" s="122"/>
      <c r="BK416" s="122"/>
      <c r="BL416" s="122"/>
    </row>
    <row r="417" spans="62:64" x14ac:dyDescent="0.25">
      <c r="BJ417" s="122"/>
      <c r="BK417" s="122"/>
      <c r="BL417" s="122"/>
    </row>
    <row r="418" spans="62:64" x14ac:dyDescent="0.25">
      <c r="BJ418" s="122"/>
      <c r="BK418" s="122"/>
      <c r="BL418" s="122"/>
    </row>
    <row r="419" spans="62:64" x14ac:dyDescent="0.25">
      <c r="BJ419" s="122"/>
      <c r="BK419" s="122"/>
      <c r="BL419" s="122"/>
    </row>
    <row r="420" spans="62:64" x14ac:dyDescent="0.25">
      <c r="BJ420" s="122"/>
      <c r="BK420" s="122"/>
      <c r="BL420" s="122"/>
    </row>
    <row r="421" spans="62:64" x14ac:dyDescent="0.25">
      <c r="BJ421" s="122"/>
      <c r="BK421" s="122"/>
      <c r="BL421" s="122"/>
    </row>
    <row r="422" spans="62:64" x14ac:dyDescent="0.25">
      <c r="BJ422" s="122"/>
      <c r="BK422" s="122"/>
      <c r="BL422" s="122"/>
    </row>
    <row r="423" spans="62:64" x14ac:dyDescent="0.25">
      <c r="BJ423" s="122"/>
      <c r="BK423" s="122"/>
      <c r="BL423" s="122"/>
    </row>
    <row r="424" spans="62:64" x14ac:dyDescent="0.25">
      <c r="BJ424" s="122"/>
      <c r="BK424" s="122"/>
      <c r="BL424" s="122"/>
    </row>
    <row r="425" spans="62:64" x14ac:dyDescent="0.25">
      <c r="BJ425" s="122"/>
      <c r="BK425" s="122"/>
      <c r="BL425" s="122"/>
    </row>
    <row r="426" spans="62:64" x14ac:dyDescent="0.25">
      <c r="BJ426" s="122"/>
      <c r="BK426" s="122"/>
      <c r="BL426" s="122"/>
    </row>
    <row r="427" spans="62:64" x14ac:dyDescent="0.25">
      <c r="BJ427" s="122"/>
      <c r="BK427" s="122"/>
      <c r="BL427" s="122"/>
    </row>
    <row r="428" spans="62:64" x14ac:dyDescent="0.25">
      <c r="BJ428" s="122"/>
      <c r="BK428" s="122"/>
      <c r="BL428" s="122"/>
    </row>
    <row r="429" spans="62:64" x14ac:dyDescent="0.25">
      <c r="BJ429" s="122"/>
      <c r="BK429" s="122"/>
      <c r="BL429" s="122"/>
    </row>
    <row r="430" spans="62:64" x14ac:dyDescent="0.25">
      <c r="BJ430" s="122"/>
      <c r="BK430" s="122"/>
      <c r="BL430" s="122"/>
    </row>
    <row r="431" spans="62:64" x14ac:dyDescent="0.25">
      <c r="BJ431" s="122"/>
      <c r="BK431" s="122"/>
      <c r="BL431" s="122"/>
    </row>
    <row r="432" spans="62:64" x14ac:dyDescent="0.25">
      <c r="BJ432" s="122"/>
      <c r="BK432" s="122"/>
      <c r="BL432" s="122"/>
    </row>
    <row r="433" spans="62:64" x14ac:dyDescent="0.25">
      <c r="BJ433" s="122"/>
      <c r="BK433" s="122"/>
      <c r="BL433" s="122"/>
    </row>
    <row r="434" spans="62:64" x14ac:dyDescent="0.25">
      <c r="BJ434" s="122"/>
      <c r="BK434" s="122"/>
      <c r="BL434" s="122"/>
    </row>
    <row r="435" spans="62:64" x14ac:dyDescent="0.25">
      <c r="BJ435" s="122"/>
      <c r="BK435" s="122"/>
      <c r="BL435" s="122"/>
    </row>
    <row r="436" spans="62:64" x14ac:dyDescent="0.25">
      <c r="BJ436" s="122"/>
      <c r="BK436" s="122"/>
      <c r="BL436" s="122"/>
    </row>
    <row r="437" spans="62:64" x14ac:dyDescent="0.25">
      <c r="BJ437" s="122"/>
      <c r="BK437" s="122"/>
      <c r="BL437" s="122"/>
    </row>
    <row r="438" spans="62:64" x14ac:dyDescent="0.25">
      <c r="BJ438" s="122"/>
      <c r="BK438" s="122"/>
      <c r="BL438" s="122"/>
    </row>
    <row r="439" spans="62:64" x14ac:dyDescent="0.25">
      <c r="BJ439" s="122"/>
      <c r="BK439" s="122"/>
      <c r="BL439" s="122"/>
    </row>
    <row r="440" spans="62:64" x14ac:dyDescent="0.25">
      <c r="BJ440" s="122"/>
      <c r="BK440" s="122"/>
      <c r="BL440" s="122"/>
    </row>
    <row r="441" spans="62:64" x14ac:dyDescent="0.25">
      <c r="BJ441" s="122"/>
      <c r="BK441" s="122"/>
      <c r="BL441" s="122"/>
    </row>
    <row r="442" spans="62:64" x14ac:dyDescent="0.25">
      <c r="BJ442" s="122"/>
      <c r="BK442" s="122"/>
      <c r="BL442" s="122"/>
    </row>
    <row r="443" spans="62:64" x14ac:dyDescent="0.25">
      <c r="BJ443" s="122"/>
      <c r="BK443" s="122"/>
      <c r="BL443" s="122"/>
    </row>
    <row r="444" spans="62:64" x14ac:dyDescent="0.25">
      <c r="BJ444" s="122"/>
      <c r="BK444" s="122"/>
      <c r="BL444" s="122"/>
    </row>
    <row r="445" spans="62:64" x14ac:dyDescent="0.25">
      <c r="BJ445" s="122"/>
      <c r="BK445" s="122"/>
      <c r="BL445" s="122"/>
    </row>
    <row r="446" spans="62:64" x14ac:dyDescent="0.25">
      <c r="BJ446" s="122"/>
      <c r="BK446" s="122"/>
      <c r="BL446" s="122"/>
    </row>
    <row r="447" spans="62:64" x14ac:dyDescent="0.25">
      <c r="BJ447" s="122"/>
      <c r="BK447" s="122"/>
      <c r="BL447" s="122"/>
    </row>
    <row r="448" spans="62:64" x14ac:dyDescent="0.25">
      <c r="BJ448" s="122"/>
      <c r="BK448" s="122"/>
      <c r="BL448" s="122"/>
    </row>
    <row r="449" spans="62:64" x14ac:dyDescent="0.25">
      <c r="BJ449" s="122"/>
      <c r="BK449" s="122"/>
      <c r="BL449" s="122"/>
    </row>
    <row r="450" spans="62:64" x14ac:dyDescent="0.25">
      <c r="BJ450" s="122"/>
      <c r="BK450" s="122"/>
      <c r="BL450" s="122"/>
    </row>
    <row r="451" spans="62:64" x14ac:dyDescent="0.25">
      <c r="BJ451" s="122"/>
      <c r="BK451" s="122"/>
      <c r="BL451" s="122"/>
    </row>
    <row r="452" spans="62:64" x14ac:dyDescent="0.25">
      <c r="BJ452" s="122"/>
      <c r="BK452" s="122"/>
      <c r="BL452" s="122"/>
    </row>
    <row r="453" spans="62:64" x14ac:dyDescent="0.25">
      <c r="BJ453" s="122"/>
      <c r="BK453" s="122"/>
      <c r="BL453" s="122"/>
    </row>
    <row r="454" spans="62:64" x14ac:dyDescent="0.25">
      <c r="BJ454" s="122"/>
      <c r="BK454" s="122"/>
      <c r="BL454" s="122"/>
    </row>
    <row r="455" spans="62:64" x14ac:dyDescent="0.25">
      <c r="BJ455" s="122"/>
      <c r="BK455" s="122"/>
      <c r="BL455" s="122"/>
    </row>
    <row r="456" spans="62:64" x14ac:dyDescent="0.25">
      <c r="BJ456" s="122"/>
      <c r="BK456" s="122"/>
      <c r="BL456" s="122"/>
    </row>
    <row r="457" spans="62:64" x14ac:dyDescent="0.25">
      <c r="BJ457" s="122"/>
      <c r="BK457" s="122"/>
      <c r="BL457" s="122"/>
    </row>
    <row r="458" spans="62:64" x14ac:dyDescent="0.25">
      <c r="BJ458" s="122"/>
      <c r="BK458" s="122"/>
      <c r="BL458" s="122"/>
    </row>
    <row r="459" spans="62:64" x14ac:dyDescent="0.25">
      <c r="BJ459" s="122"/>
      <c r="BK459" s="122"/>
      <c r="BL459" s="122"/>
    </row>
    <row r="460" spans="62:64" x14ac:dyDescent="0.25">
      <c r="BJ460" s="122"/>
      <c r="BK460" s="122"/>
      <c r="BL460" s="122"/>
    </row>
    <row r="461" spans="62:64" x14ac:dyDescent="0.25">
      <c r="BJ461" s="122"/>
      <c r="BK461" s="122"/>
      <c r="BL461" s="122"/>
    </row>
    <row r="462" spans="62:64" x14ac:dyDescent="0.25">
      <c r="BJ462" s="122"/>
      <c r="BK462" s="122"/>
      <c r="BL462" s="122"/>
    </row>
    <row r="463" spans="62:64" x14ac:dyDescent="0.25">
      <c r="BJ463" s="122"/>
      <c r="BK463" s="122"/>
      <c r="BL463" s="122"/>
    </row>
    <row r="464" spans="62:64" x14ac:dyDescent="0.25">
      <c r="BJ464" s="122"/>
      <c r="BK464" s="122"/>
      <c r="BL464" s="122"/>
    </row>
    <row r="465" spans="62:64" x14ac:dyDescent="0.25">
      <c r="BJ465" s="122"/>
      <c r="BK465" s="122"/>
      <c r="BL465" s="122"/>
    </row>
    <row r="466" spans="62:64" x14ac:dyDescent="0.25">
      <c r="BJ466" s="122"/>
      <c r="BK466" s="122"/>
      <c r="BL466" s="122"/>
    </row>
    <row r="467" spans="62:64" x14ac:dyDescent="0.25">
      <c r="BJ467" s="122"/>
      <c r="BK467" s="122"/>
      <c r="BL467" s="122"/>
    </row>
    <row r="468" spans="62:64" x14ac:dyDescent="0.25">
      <c r="BJ468" s="122"/>
      <c r="BK468" s="122"/>
      <c r="BL468" s="122"/>
    </row>
    <row r="469" spans="62:64" x14ac:dyDescent="0.25">
      <c r="BJ469" s="122"/>
      <c r="BK469" s="122"/>
      <c r="BL469" s="122"/>
    </row>
    <row r="470" spans="62:64" x14ac:dyDescent="0.25">
      <c r="BJ470" s="122"/>
      <c r="BK470" s="122"/>
      <c r="BL470" s="122"/>
    </row>
    <row r="471" spans="62:64" x14ac:dyDescent="0.25">
      <c r="BJ471" s="122"/>
      <c r="BK471" s="122"/>
      <c r="BL471" s="122"/>
    </row>
    <row r="472" spans="62:64" x14ac:dyDescent="0.25">
      <c r="BJ472" s="122"/>
      <c r="BK472" s="122"/>
      <c r="BL472" s="122"/>
    </row>
    <row r="473" spans="62:64" x14ac:dyDescent="0.25">
      <c r="BJ473" s="122"/>
      <c r="BK473" s="122"/>
      <c r="BL473" s="122"/>
    </row>
    <row r="474" spans="62:64" x14ac:dyDescent="0.25">
      <c r="BJ474" s="122"/>
      <c r="BK474" s="122"/>
      <c r="BL474" s="122"/>
    </row>
    <row r="475" spans="62:64" x14ac:dyDescent="0.25">
      <c r="BJ475" s="122"/>
      <c r="BK475" s="122"/>
      <c r="BL475" s="122"/>
    </row>
    <row r="476" spans="62:64" x14ac:dyDescent="0.25">
      <c r="BJ476" s="122"/>
      <c r="BK476" s="122"/>
      <c r="BL476" s="122"/>
    </row>
    <row r="477" spans="62:64" x14ac:dyDescent="0.25">
      <c r="BJ477" s="122"/>
      <c r="BK477" s="122"/>
      <c r="BL477" s="122"/>
    </row>
    <row r="478" spans="62:64" x14ac:dyDescent="0.25">
      <c r="BJ478" s="122"/>
      <c r="BK478" s="122"/>
      <c r="BL478" s="122"/>
    </row>
    <row r="479" spans="62:64" x14ac:dyDescent="0.25">
      <c r="BJ479" s="122"/>
      <c r="BK479" s="122"/>
      <c r="BL479" s="122"/>
    </row>
    <row r="480" spans="62:64" x14ac:dyDescent="0.25">
      <c r="BJ480" s="122"/>
      <c r="BK480" s="122"/>
      <c r="BL480" s="122"/>
    </row>
    <row r="481" spans="62:64" x14ac:dyDescent="0.25">
      <c r="BJ481" s="122"/>
      <c r="BK481" s="122"/>
      <c r="BL481" s="122"/>
    </row>
    <row r="482" spans="62:64" x14ac:dyDescent="0.25">
      <c r="BJ482" s="122"/>
      <c r="BK482" s="122"/>
      <c r="BL482" s="122"/>
    </row>
    <row r="483" spans="62:64" x14ac:dyDescent="0.25">
      <c r="BJ483" s="122"/>
      <c r="BK483" s="122"/>
      <c r="BL483" s="122"/>
    </row>
    <row r="484" spans="62:64" x14ac:dyDescent="0.25">
      <c r="BJ484" s="122"/>
      <c r="BK484" s="122"/>
      <c r="BL484" s="122"/>
    </row>
    <row r="485" spans="62:64" x14ac:dyDescent="0.25">
      <c r="BJ485" s="122"/>
      <c r="BK485" s="122"/>
      <c r="BL485" s="122"/>
    </row>
    <row r="486" spans="62:64" x14ac:dyDescent="0.25">
      <c r="BJ486" s="122"/>
      <c r="BK486" s="122"/>
      <c r="BL486" s="122"/>
    </row>
    <row r="487" spans="62:64" x14ac:dyDescent="0.25">
      <c r="BJ487" s="122"/>
      <c r="BK487" s="122"/>
      <c r="BL487" s="122"/>
    </row>
    <row r="488" spans="62:64" x14ac:dyDescent="0.25">
      <c r="BJ488" s="122"/>
      <c r="BK488" s="122"/>
      <c r="BL488" s="122"/>
    </row>
    <row r="489" spans="62:64" x14ac:dyDescent="0.25">
      <c r="BJ489" s="122"/>
      <c r="BK489" s="122"/>
      <c r="BL489" s="122"/>
    </row>
    <row r="490" spans="62:64" x14ac:dyDescent="0.25">
      <c r="BJ490" s="122"/>
      <c r="BK490" s="122"/>
      <c r="BL490" s="122"/>
    </row>
    <row r="491" spans="62:64" x14ac:dyDescent="0.25">
      <c r="BJ491" s="122"/>
      <c r="BK491" s="122"/>
      <c r="BL491" s="122"/>
    </row>
    <row r="492" spans="62:64" x14ac:dyDescent="0.25">
      <c r="BJ492" s="122"/>
      <c r="BK492" s="122"/>
      <c r="BL492" s="122"/>
    </row>
    <row r="493" spans="62:64" x14ac:dyDescent="0.25">
      <c r="BJ493" s="122"/>
      <c r="BK493" s="122"/>
      <c r="BL493" s="122"/>
    </row>
    <row r="494" spans="62:64" x14ac:dyDescent="0.25">
      <c r="BJ494" s="122"/>
      <c r="BK494" s="122"/>
      <c r="BL494" s="122"/>
    </row>
    <row r="495" spans="62:64" x14ac:dyDescent="0.25">
      <c r="BJ495" s="122"/>
      <c r="BK495" s="122"/>
      <c r="BL495" s="122"/>
    </row>
    <row r="496" spans="62:64" x14ac:dyDescent="0.25">
      <c r="BJ496" s="122"/>
      <c r="BK496" s="122"/>
      <c r="BL496" s="122"/>
    </row>
    <row r="497" spans="62:64" x14ac:dyDescent="0.25">
      <c r="BJ497" s="122"/>
      <c r="BK497" s="122"/>
      <c r="BL497" s="122"/>
    </row>
    <row r="498" spans="62:64" x14ac:dyDescent="0.25">
      <c r="BJ498" s="122"/>
      <c r="BK498" s="122"/>
      <c r="BL498" s="122"/>
    </row>
    <row r="499" spans="62:64" x14ac:dyDescent="0.25">
      <c r="BJ499" s="122"/>
      <c r="BK499" s="122"/>
      <c r="BL499" s="122"/>
    </row>
    <row r="500" spans="62:64" x14ac:dyDescent="0.25">
      <c r="BJ500" s="122"/>
      <c r="BK500" s="122"/>
      <c r="BL500" s="122"/>
    </row>
    <row r="501" spans="62:64" x14ac:dyDescent="0.25">
      <c r="BJ501" s="122"/>
      <c r="BK501" s="122"/>
      <c r="BL501" s="122"/>
    </row>
    <row r="502" spans="62:64" x14ac:dyDescent="0.25">
      <c r="BJ502" s="122"/>
      <c r="BK502" s="122"/>
      <c r="BL502" s="122"/>
    </row>
    <row r="503" spans="62:64" x14ac:dyDescent="0.25">
      <c r="BJ503" s="122"/>
      <c r="BK503" s="122"/>
      <c r="BL503" s="122"/>
    </row>
    <row r="504" spans="62:64" x14ac:dyDescent="0.25">
      <c r="BJ504" s="122"/>
      <c r="BK504" s="122"/>
      <c r="BL504" s="122"/>
    </row>
    <row r="505" spans="62:64" x14ac:dyDescent="0.25">
      <c r="BJ505" s="122"/>
      <c r="BK505" s="122"/>
      <c r="BL505" s="122"/>
    </row>
    <row r="506" spans="62:64" x14ac:dyDescent="0.25">
      <c r="BJ506" s="122"/>
      <c r="BK506" s="122"/>
      <c r="BL506" s="122"/>
    </row>
    <row r="507" spans="62:64" x14ac:dyDescent="0.25">
      <c r="BJ507" s="122"/>
      <c r="BK507" s="122"/>
      <c r="BL507" s="122"/>
    </row>
    <row r="508" spans="62:64" x14ac:dyDescent="0.25">
      <c r="BJ508" s="122"/>
      <c r="BK508" s="122"/>
      <c r="BL508" s="122"/>
    </row>
    <row r="509" spans="62:64" x14ac:dyDescent="0.25">
      <c r="BJ509" s="122"/>
      <c r="BK509" s="122"/>
      <c r="BL509" s="122"/>
    </row>
    <row r="510" spans="62:64" x14ac:dyDescent="0.25">
      <c r="BJ510" s="122"/>
      <c r="BK510" s="122"/>
      <c r="BL510" s="122"/>
    </row>
    <row r="511" spans="62:64" x14ac:dyDescent="0.25">
      <c r="BJ511" s="122"/>
      <c r="BK511" s="122"/>
      <c r="BL511" s="122"/>
    </row>
    <row r="512" spans="62:64" x14ac:dyDescent="0.25">
      <c r="BJ512" s="122"/>
      <c r="BK512" s="122"/>
      <c r="BL512" s="122"/>
    </row>
    <row r="513" spans="62:64" x14ac:dyDescent="0.25">
      <c r="BJ513" s="122"/>
      <c r="BK513" s="122"/>
      <c r="BL513" s="122"/>
    </row>
    <row r="514" spans="62:64" x14ac:dyDescent="0.25">
      <c r="BJ514" s="122"/>
      <c r="BK514" s="122"/>
      <c r="BL514" s="122"/>
    </row>
    <row r="515" spans="62:64" x14ac:dyDescent="0.25">
      <c r="BJ515" s="122"/>
      <c r="BK515" s="122"/>
      <c r="BL515" s="122"/>
    </row>
    <row r="516" spans="62:64" x14ac:dyDescent="0.25">
      <c r="BJ516" s="122"/>
      <c r="BK516" s="122"/>
      <c r="BL516" s="122"/>
    </row>
    <row r="517" spans="62:64" x14ac:dyDescent="0.25">
      <c r="BJ517" s="122"/>
      <c r="BK517" s="122"/>
      <c r="BL517" s="122"/>
    </row>
    <row r="518" spans="62:64" x14ac:dyDescent="0.25">
      <c r="BJ518" s="122"/>
      <c r="BK518" s="122"/>
      <c r="BL518" s="122"/>
    </row>
    <row r="519" spans="62:64" x14ac:dyDescent="0.25">
      <c r="BJ519" s="122"/>
      <c r="BK519" s="122"/>
      <c r="BL519" s="122"/>
    </row>
    <row r="520" spans="62:64" x14ac:dyDescent="0.25">
      <c r="BJ520" s="122"/>
      <c r="BK520" s="122"/>
      <c r="BL520" s="122"/>
    </row>
    <row r="521" spans="62:64" x14ac:dyDescent="0.25">
      <c r="BJ521" s="122"/>
      <c r="BK521" s="122"/>
      <c r="BL521" s="122"/>
    </row>
    <row r="522" spans="62:64" x14ac:dyDescent="0.25">
      <c r="BJ522" s="122"/>
      <c r="BK522" s="122"/>
      <c r="BL522" s="122"/>
    </row>
    <row r="523" spans="62:64" x14ac:dyDescent="0.25">
      <c r="BJ523" s="122"/>
      <c r="BK523" s="122"/>
      <c r="BL523" s="122"/>
    </row>
    <row r="524" spans="62:64" x14ac:dyDescent="0.25">
      <c r="BJ524" s="122"/>
      <c r="BK524" s="122"/>
      <c r="BL524" s="122"/>
    </row>
    <row r="525" spans="62:64" x14ac:dyDescent="0.25">
      <c r="BJ525" s="122"/>
      <c r="BK525" s="122"/>
      <c r="BL525" s="122"/>
    </row>
    <row r="526" spans="62:64" x14ac:dyDescent="0.25">
      <c r="BJ526" s="122"/>
      <c r="BK526" s="122"/>
      <c r="BL526" s="122"/>
    </row>
    <row r="527" spans="62:64" x14ac:dyDescent="0.25">
      <c r="BJ527" s="122"/>
      <c r="BK527" s="122"/>
      <c r="BL527" s="122"/>
    </row>
    <row r="528" spans="62:64" x14ac:dyDescent="0.25">
      <c r="BJ528" s="122"/>
      <c r="BK528" s="122"/>
      <c r="BL528" s="122"/>
    </row>
    <row r="529" spans="62:64" x14ac:dyDescent="0.25">
      <c r="BJ529" s="122"/>
      <c r="BK529" s="122"/>
      <c r="BL529" s="122"/>
    </row>
    <row r="530" spans="62:64" x14ac:dyDescent="0.25">
      <c r="BJ530" s="122"/>
      <c r="BK530" s="122"/>
      <c r="BL530" s="122"/>
    </row>
    <row r="531" spans="62:64" x14ac:dyDescent="0.25">
      <c r="BJ531" s="122"/>
      <c r="BK531" s="122"/>
      <c r="BL531" s="122"/>
    </row>
    <row r="532" spans="62:64" x14ac:dyDescent="0.25">
      <c r="BJ532" s="122"/>
      <c r="BK532" s="122"/>
      <c r="BL532" s="122"/>
    </row>
    <row r="533" spans="62:64" x14ac:dyDescent="0.25">
      <c r="BJ533" s="122"/>
      <c r="BK533" s="122"/>
      <c r="BL533" s="122"/>
    </row>
    <row r="534" spans="62:64" x14ac:dyDescent="0.25">
      <c r="BJ534" s="122"/>
      <c r="BK534" s="122"/>
      <c r="BL534" s="122"/>
    </row>
    <row r="535" spans="62:64" x14ac:dyDescent="0.25">
      <c r="BJ535" s="122"/>
      <c r="BK535" s="122"/>
      <c r="BL535" s="122"/>
    </row>
    <row r="536" spans="62:64" x14ac:dyDescent="0.25">
      <c r="BJ536" s="122"/>
      <c r="BK536" s="122"/>
      <c r="BL536" s="122"/>
    </row>
    <row r="537" spans="62:64" x14ac:dyDescent="0.25">
      <c r="BJ537" s="122"/>
      <c r="BK537" s="122"/>
      <c r="BL537" s="122"/>
    </row>
    <row r="538" spans="62:64" x14ac:dyDescent="0.25">
      <c r="BJ538" s="122"/>
      <c r="BK538" s="122"/>
      <c r="BL538" s="122"/>
    </row>
    <row r="539" spans="62:64" x14ac:dyDescent="0.25">
      <c r="BJ539" s="122"/>
      <c r="BK539" s="122"/>
      <c r="BL539" s="122"/>
    </row>
    <row r="540" spans="62:64" x14ac:dyDescent="0.25">
      <c r="BJ540" s="122"/>
      <c r="BK540" s="122"/>
      <c r="BL540" s="122"/>
    </row>
    <row r="541" spans="62:64" x14ac:dyDescent="0.25">
      <c r="BJ541" s="122"/>
      <c r="BK541" s="122"/>
      <c r="BL541" s="122"/>
    </row>
    <row r="542" spans="62:64" x14ac:dyDescent="0.25">
      <c r="BJ542" s="122"/>
      <c r="BK542" s="122"/>
      <c r="BL542" s="122"/>
    </row>
    <row r="543" spans="62:64" x14ac:dyDescent="0.25">
      <c r="BJ543" s="122"/>
      <c r="BK543" s="122"/>
      <c r="BL543" s="122"/>
    </row>
    <row r="544" spans="62:64" x14ac:dyDescent="0.25">
      <c r="BJ544" s="122"/>
      <c r="BK544" s="122"/>
      <c r="BL544" s="122"/>
    </row>
    <row r="545" spans="62:64" x14ac:dyDescent="0.25">
      <c r="BJ545" s="122"/>
      <c r="BK545" s="122"/>
      <c r="BL545" s="122"/>
    </row>
    <row r="546" spans="62:64" x14ac:dyDescent="0.25">
      <c r="BJ546" s="122"/>
      <c r="BK546" s="122"/>
      <c r="BL546" s="122"/>
    </row>
    <row r="547" spans="62:64" x14ac:dyDescent="0.25">
      <c r="BJ547" s="122"/>
      <c r="BK547" s="122"/>
      <c r="BL547" s="122"/>
    </row>
    <row r="548" spans="62:64" x14ac:dyDescent="0.25">
      <c r="BJ548" s="122"/>
      <c r="BK548" s="122"/>
      <c r="BL548" s="122"/>
    </row>
    <row r="549" spans="62:64" x14ac:dyDescent="0.25">
      <c r="BJ549" s="122"/>
      <c r="BK549" s="122"/>
      <c r="BL549" s="122"/>
    </row>
    <row r="550" spans="62:64" x14ac:dyDescent="0.25">
      <c r="BJ550" s="122"/>
      <c r="BK550" s="122"/>
      <c r="BL550" s="122"/>
    </row>
    <row r="551" spans="62:64" x14ac:dyDescent="0.25">
      <c r="BJ551" s="122"/>
      <c r="BK551" s="122"/>
      <c r="BL551" s="122"/>
    </row>
    <row r="552" spans="62:64" x14ac:dyDescent="0.25">
      <c r="BJ552" s="122"/>
      <c r="BK552" s="122"/>
      <c r="BL552" s="122"/>
    </row>
    <row r="553" spans="62:64" x14ac:dyDescent="0.25">
      <c r="BJ553" s="122"/>
      <c r="BK553" s="122"/>
      <c r="BL553" s="122"/>
    </row>
    <row r="554" spans="62:64" x14ac:dyDescent="0.25">
      <c r="BJ554" s="122"/>
      <c r="BK554" s="122"/>
      <c r="BL554" s="122"/>
    </row>
    <row r="555" spans="62:64" x14ac:dyDescent="0.25">
      <c r="BJ555" s="122"/>
      <c r="BK555" s="122"/>
      <c r="BL555" s="122"/>
    </row>
    <row r="556" spans="62:64" x14ac:dyDescent="0.25">
      <c r="BJ556" s="122"/>
      <c r="BK556" s="122"/>
      <c r="BL556" s="122"/>
    </row>
    <row r="557" spans="62:64" x14ac:dyDescent="0.25">
      <c r="BJ557" s="122"/>
      <c r="BK557" s="122"/>
      <c r="BL557" s="122"/>
    </row>
    <row r="558" spans="62:64" x14ac:dyDescent="0.25">
      <c r="BJ558" s="122"/>
      <c r="BK558" s="122"/>
      <c r="BL558" s="122"/>
    </row>
    <row r="559" spans="62:64" x14ac:dyDescent="0.25">
      <c r="BJ559" s="122"/>
      <c r="BK559" s="122"/>
      <c r="BL559" s="122"/>
    </row>
    <row r="560" spans="62:64" x14ac:dyDescent="0.25">
      <c r="BJ560" s="122"/>
      <c r="BK560" s="122"/>
      <c r="BL560" s="122"/>
    </row>
    <row r="561" spans="62:64" x14ac:dyDescent="0.25">
      <c r="BJ561" s="122"/>
      <c r="BK561" s="122"/>
      <c r="BL561" s="122"/>
    </row>
    <row r="562" spans="62:64" x14ac:dyDescent="0.25">
      <c r="BJ562" s="122"/>
      <c r="BK562" s="122"/>
      <c r="BL562" s="122"/>
    </row>
    <row r="563" spans="62:64" x14ac:dyDescent="0.25">
      <c r="BJ563" s="122"/>
      <c r="BK563" s="122"/>
      <c r="BL563" s="122"/>
    </row>
    <row r="564" spans="62:64" x14ac:dyDescent="0.25">
      <c r="BJ564" s="122"/>
      <c r="BK564" s="122"/>
      <c r="BL564" s="122"/>
    </row>
    <row r="565" spans="62:64" x14ac:dyDescent="0.25">
      <c r="BJ565" s="122"/>
      <c r="BK565" s="122"/>
      <c r="BL565" s="122"/>
    </row>
    <row r="566" spans="62:64" x14ac:dyDescent="0.25">
      <c r="BJ566" s="122"/>
      <c r="BK566" s="122"/>
      <c r="BL566" s="122"/>
    </row>
    <row r="567" spans="62:64" x14ac:dyDescent="0.25">
      <c r="BJ567" s="122"/>
      <c r="BK567" s="122"/>
      <c r="BL567" s="122"/>
    </row>
    <row r="568" spans="62:64" x14ac:dyDescent="0.25">
      <c r="BJ568" s="122"/>
      <c r="BK568" s="122"/>
      <c r="BL568" s="122"/>
    </row>
    <row r="569" spans="62:64" x14ac:dyDescent="0.25">
      <c r="BJ569" s="122"/>
      <c r="BK569" s="122"/>
      <c r="BL569" s="122"/>
    </row>
    <row r="570" spans="62:64" x14ac:dyDescent="0.25">
      <c r="BJ570" s="122"/>
      <c r="BK570" s="122"/>
      <c r="BL570" s="122"/>
    </row>
    <row r="571" spans="62:64" x14ac:dyDescent="0.25">
      <c r="BJ571" s="122"/>
      <c r="BK571" s="122"/>
      <c r="BL571" s="122"/>
    </row>
    <row r="572" spans="62:64" x14ac:dyDescent="0.25">
      <c r="BJ572" s="122"/>
      <c r="BK572" s="122"/>
      <c r="BL572" s="122"/>
    </row>
    <row r="573" spans="62:64" x14ac:dyDescent="0.25">
      <c r="BJ573" s="122"/>
      <c r="BK573" s="122"/>
      <c r="BL573" s="122"/>
    </row>
    <row r="574" spans="62:64" x14ac:dyDescent="0.25">
      <c r="BJ574" s="122"/>
      <c r="BK574" s="122"/>
      <c r="BL574" s="122"/>
    </row>
    <row r="575" spans="62:64" x14ac:dyDescent="0.25">
      <c r="BJ575" s="122"/>
      <c r="BK575" s="122"/>
      <c r="BL575" s="122"/>
    </row>
    <row r="576" spans="62:64" x14ac:dyDescent="0.25">
      <c r="BJ576" s="122"/>
      <c r="BK576" s="122"/>
      <c r="BL576" s="122"/>
    </row>
    <row r="577" spans="62:64" x14ac:dyDescent="0.25">
      <c r="BJ577" s="122"/>
      <c r="BK577" s="122"/>
      <c r="BL577" s="122"/>
    </row>
    <row r="578" spans="62:64" x14ac:dyDescent="0.25">
      <c r="BJ578" s="122"/>
      <c r="BK578" s="122"/>
      <c r="BL578" s="122"/>
    </row>
    <row r="579" spans="62:64" x14ac:dyDescent="0.25">
      <c r="BJ579" s="122"/>
      <c r="BK579" s="122"/>
      <c r="BL579" s="122"/>
    </row>
    <row r="580" spans="62:64" x14ac:dyDescent="0.25">
      <c r="BJ580" s="122"/>
      <c r="BK580" s="122"/>
      <c r="BL580" s="122"/>
    </row>
    <row r="581" spans="62:64" x14ac:dyDescent="0.25">
      <c r="BJ581" s="122"/>
      <c r="BK581" s="122"/>
      <c r="BL581" s="122"/>
    </row>
    <row r="582" spans="62:64" x14ac:dyDescent="0.25">
      <c r="BJ582" s="122"/>
      <c r="BK582" s="122"/>
      <c r="BL582" s="122"/>
    </row>
    <row r="583" spans="62:64" x14ac:dyDescent="0.25">
      <c r="BJ583" s="122"/>
      <c r="BK583" s="122"/>
      <c r="BL583" s="122"/>
    </row>
    <row r="584" spans="62:64" x14ac:dyDescent="0.25">
      <c r="BJ584" s="122"/>
      <c r="BK584" s="122"/>
      <c r="BL584" s="122"/>
    </row>
    <row r="585" spans="62:64" x14ac:dyDescent="0.25">
      <c r="BJ585" s="122"/>
      <c r="BK585" s="122"/>
      <c r="BL585" s="122"/>
    </row>
    <row r="586" spans="62:64" x14ac:dyDescent="0.25">
      <c r="BJ586" s="122"/>
      <c r="BK586" s="122"/>
      <c r="BL586" s="122"/>
    </row>
    <row r="587" spans="62:64" x14ac:dyDescent="0.25">
      <c r="BJ587" s="122"/>
      <c r="BK587" s="122"/>
      <c r="BL587" s="122"/>
    </row>
    <row r="588" spans="62:64" x14ac:dyDescent="0.25">
      <c r="BJ588" s="122"/>
      <c r="BK588" s="122"/>
      <c r="BL588" s="122"/>
    </row>
    <row r="589" spans="62:64" x14ac:dyDescent="0.25">
      <c r="BJ589" s="122"/>
      <c r="BK589" s="122"/>
      <c r="BL589" s="122"/>
    </row>
    <row r="590" spans="62:64" x14ac:dyDescent="0.25">
      <c r="BJ590" s="122"/>
      <c r="BK590" s="122"/>
      <c r="BL590" s="122"/>
    </row>
    <row r="591" spans="62:64" x14ac:dyDescent="0.25">
      <c r="BJ591" s="122"/>
      <c r="BK591" s="122"/>
      <c r="BL591" s="122"/>
    </row>
    <row r="592" spans="62:64" x14ac:dyDescent="0.25">
      <c r="BJ592" s="122"/>
      <c r="BK592" s="122"/>
      <c r="BL592" s="122"/>
    </row>
    <row r="593" spans="62:64" x14ac:dyDescent="0.25">
      <c r="BJ593" s="122"/>
      <c r="BK593" s="122"/>
      <c r="BL593" s="122"/>
    </row>
    <row r="594" spans="62:64" x14ac:dyDescent="0.25">
      <c r="BJ594" s="122"/>
      <c r="BK594" s="122"/>
      <c r="BL594" s="122"/>
    </row>
    <row r="595" spans="62:64" x14ac:dyDescent="0.25">
      <c r="BJ595" s="122"/>
      <c r="BK595" s="122"/>
      <c r="BL595" s="122"/>
    </row>
    <row r="596" spans="62:64" x14ac:dyDescent="0.25">
      <c r="BJ596" s="122"/>
      <c r="BK596" s="122"/>
      <c r="BL596" s="122"/>
    </row>
    <row r="597" spans="62:64" x14ac:dyDescent="0.25">
      <c r="BJ597" s="122"/>
      <c r="BK597" s="122"/>
      <c r="BL597" s="122"/>
    </row>
    <row r="598" spans="62:64" x14ac:dyDescent="0.25">
      <c r="BJ598" s="122"/>
      <c r="BK598" s="122"/>
      <c r="BL598" s="122"/>
    </row>
    <row r="599" spans="62:64" x14ac:dyDescent="0.25">
      <c r="BJ599" s="122"/>
      <c r="BK599" s="122"/>
      <c r="BL599" s="122"/>
    </row>
    <row r="600" spans="62:64" x14ac:dyDescent="0.25">
      <c r="BJ600" s="122"/>
      <c r="BK600" s="122"/>
      <c r="BL600" s="122"/>
    </row>
    <row r="601" spans="62:64" x14ac:dyDescent="0.25">
      <c r="BJ601" s="122"/>
      <c r="BK601" s="122"/>
      <c r="BL601" s="122"/>
    </row>
    <row r="602" spans="62:64" x14ac:dyDescent="0.25">
      <c r="BJ602" s="122"/>
      <c r="BK602" s="122"/>
      <c r="BL602" s="122"/>
    </row>
    <row r="603" spans="62:64" x14ac:dyDescent="0.25">
      <c r="BJ603" s="122"/>
      <c r="BK603" s="122"/>
      <c r="BL603" s="122"/>
    </row>
    <row r="604" spans="62:64" x14ac:dyDescent="0.25">
      <c r="BJ604" s="122"/>
      <c r="BK604" s="122"/>
      <c r="BL604" s="122"/>
    </row>
    <row r="605" spans="62:64" x14ac:dyDescent="0.25">
      <c r="BJ605" s="122"/>
      <c r="BK605" s="122"/>
      <c r="BL605" s="122"/>
    </row>
    <row r="606" spans="62:64" x14ac:dyDescent="0.25">
      <c r="BJ606" s="122"/>
      <c r="BK606" s="122"/>
      <c r="BL606" s="122"/>
    </row>
    <row r="607" spans="62:64" x14ac:dyDescent="0.25">
      <c r="BJ607" s="122"/>
      <c r="BK607" s="122"/>
      <c r="BL607" s="122"/>
    </row>
    <row r="608" spans="62:64" x14ac:dyDescent="0.25">
      <c r="BJ608" s="122"/>
      <c r="BK608" s="122"/>
      <c r="BL608" s="122"/>
    </row>
    <row r="609" spans="62:64" x14ac:dyDescent="0.25">
      <c r="BJ609" s="122"/>
      <c r="BK609" s="122"/>
      <c r="BL609" s="122"/>
    </row>
    <row r="610" spans="62:64" x14ac:dyDescent="0.25">
      <c r="BJ610" s="122"/>
      <c r="BK610" s="122"/>
      <c r="BL610" s="122"/>
    </row>
    <row r="611" spans="62:64" x14ac:dyDescent="0.25">
      <c r="BJ611" s="122"/>
      <c r="BK611" s="122"/>
      <c r="BL611" s="122"/>
    </row>
    <row r="612" spans="62:64" x14ac:dyDescent="0.25">
      <c r="BJ612" s="122"/>
      <c r="BK612" s="122"/>
      <c r="BL612" s="122"/>
    </row>
    <row r="613" spans="62:64" x14ac:dyDescent="0.25">
      <c r="BJ613" s="122"/>
      <c r="BK613" s="122"/>
      <c r="BL613" s="122"/>
    </row>
    <row r="614" spans="62:64" x14ac:dyDescent="0.25">
      <c r="BJ614" s="122"/>
      <c r="BK614" s="122"/>
      <c r="BL614" s="122"/>
    </row>
    <row r="615" spans="62:64" x14ac:dyDescent="0.25">
      <c r="BJ615" s="122"/>
      <c r="BK615" s="122"/>
      <c r="BL615" s="122"/>
    </row>
    <row r="616" spans="62:64" x14ac:dyDescent="0.25">
      <c r="BJ616" s="122"/>
      <c r="BK616" s="122"/>
      <c r="BL616" s="122"/>
    </row>
    <row r="617" spans="62:64" x14ac:dyDescent="0.25">
      <c r="BJ617" s="122"/>
      <c r="BK617" s="122"/>
      <c r="BL617" s="122"/>
    </row>
    <row r="618" spans="62:64" x14ac:dyDescent="0.25">
      <c r="BJ618" s="122"/>
      <c r="BK618" s="122"/>
      <c r="BL618" s="122"/>
    </row>
    <row r="619" spans="62:64" x14ac:dyDescent="0.25">
      <c r="BJ619" s="122"/>
      <c r="BK619" s="122"/>
      <c r="BL619" s="122"/>
    </row>
    <row r="620" spans="62:64" x14ac:dyDescent="0.25">
      <c r="BJ620" s="122"/>
      <c r="BK620" s="122"/>
      <c r="BL620" s="122"/>
    </row>
    <row r="621" spans="62:64" x14ac:dyDescent="0.25">
      <c r="BJ621" s="122"/>
      <c r="BK621" s="122"/>
      <c r="BL621" s="122"/>
    </row>
    <row r="622" spans="62:64" x14ac:dyDescent="0.25">
      <c r="BJ622" s="122"/>
      <c r="BK622" s="122"/>
      <c r="BL622" s="122"/>
    </row>
    <row r="623" spans="62:64" x14ac:dyDescent="0.25">
      <c r="BJ623" s="122"/>
      <c r="BK623" s="122"/>
      <c r="BL623" s="122"/>
    </row>
    <row r="624" spans="62:64" x14ac:dyDescent="0.25">
      <c r="BJ624" s="122"/>
      <c r="BK624" s="122"/>
      <c r="BL624" s="122"/>
    </row>
    <row r="625" spans="62:64" x14ac:dyDescent="0.25">
      <c r="BJ625" s="122"/>
      <c r="BK625" s="122"/>
      <c r="BL625" s="122"/>
    </row>
    <row r="626" spans="62:64" x14ac:dyDescent="0.25">
      <c r="BJ626" s="122"/>
      <c r="BK626" s="122"/>
      <c r="BL626" s="122"/>
    </row>
    <row r="627" spans="62:64" x14ac:dyDescent="0.25">
      <c r="BJ627" s="122"/>
      <c r="BK627" s="122"/>
      <c r="BL627" s="122"/>
    </row>
    <row r="628" spans="62:64" x14ac:dyDescent="0.25">
      <c r="BJ628" s="122"/>
      <c r="BK628" s="122"/>
      <c r="BL628" s="122"/>
    </row>
    <row r="629" spans="62:64" x14ac:dyDescent="0.25">
      <c r="BJ629" s="122"/>
      <c r="BK629" s="122"/>
      <c r="BL629" s="122"/>
    </row>
    <row r="630" spans="62:64" x14ac:dyDescent="0.25">
      <c r="BJ630" s="122"/>
      <c r="BK630" s="122"/>
      <c r="BL630" s="122"/>
    </row>
    <row r="631" spans="62:64" x14ac:dyDescent="0.25">
      <c r="BJ631" s="122"/>
      <c r="BK631" s="122"/>
      <c r="BL631" s="122"/>
    </row>
    <row r="632" spans="62:64" x14ac:dyDescent="0.25">
      <c r="BJ632" s="122"/>
      <c r="BK632" s="122"/>
      <c r="BL632" s="122"/>
    </row>
    <row r="633" spans="62:64" x14ac:dyDescent="0.25">
      <c r="BJ633" s="122"/>
      <c r="BK633" s="122"/>
      <c r="BL633" s="122"/>
    </row>
    <row r="634" spans="62:64" x14ac:dyDescent="0.25">
      <c r="BJ634" s="122"/>
      <c r="BK634" s="122"/>
      <c r="BL634" s="122"/>
    </row>
    <row r="635" spans="62:64" x14ac:dyDescent="0.25">
      <c r="BJ635" s="122"/>
      <c r="BK635" s="122"/>
      <c r="BL635" s="122"/>
    </row>
    <row r="636" spans="62:64" x14ac:dyDescent="0.25">
      <c r="BJ636" s="122"/>
      <c r="BK636" s="122"/>
      <c r="BL636" s="122"/>
    </row>
    <row r="637" spans="62:64" x14ac:dyDescent="0.25">
      <c r="BJ637" s="122"/>
      <c r="BK637" s="122"/>
      <c r="BL637" s="122"/>
    </row>
    <row r="638" spans="62:64" x14ac:dyDescent="0.25">
      <c r="BJ638" s="122"/>
      <c r="BK638" s="122"/>
      <c r="BL638" s="122"/>
    </row>
    <row r="639" spans="62:64" x14ac:dyDescent="0.25">
      <c r="BJ639" s="122"/>
      <c r="BK639" s="122"/>
      <c r="BL639" s="122"/>
    </row>
    <row r="640" spans="62:64" x14ac:dyDescent="0.25">
      <c r="BJ640" s="122"/>
      <c r="BK640" s="122"/>
      <c r="BL640" s="122"/>
    </row>
    <row r="641" spans="62:64" x14ac:dyDescent="0.25">
      <c r="BJ641" s="122"/>
      <c r="BK641" s="122"/>
      <c r="BL641" s="122"/>
    </row>
    <row r="642" spans="62:64" x14ac:dyDescent="0.25">
      <c r="BJ642" s="122"/>
      <c r="BK642" s="122"/>
      <c r="BL642" s="122"/>
    </row>
    <row r="643" spans="62:64" x14ac:dyDescent="0.25">
      <c r="BJ643" s="122"/>
      <c r="BK643" s="122"/>
      <c r="BL643" s="122"/>
    </row>
    <row r="644" spans="62:64" x14ac:dyDescent="0.25">
      <c r="BJ644" s="122"/>
      <c r="BK644" s="122"/>
      <c r="BL644" s="122"/>
    </row>
    <row r="645" spans="62:64" x14ac:dyDescent="0.25">
      <c r="BJ645" s="122"/>
      <c r="BK645" s="122"/>
      <c r="BL645" s="122"/>
    </row>
    <row r="646" spans="62:64" x14ac:dyDescent="0.25">
      <c r="BJ646" s="122"/>
      <c r="BK646" s="122"/>
      <c r="BL646" s="122"/>
    </row>
    <row r="647" spans="62:64" x14ac:dyDescent="0.25">
      <c r="BJ647" s="122"/>
      <c r="BK647" s="122"/>
      <c r="BL647" s="122"/>
    </row>
    <row r="648" spans="62:64" x14ac:dyDescent="0.25">
      <c r="BJ648" s="122"/>
      <c r="BK648" s="122"/>
      <c r="BL648" s="122"/>
    </row>
    <row r="649" spans="62:64" x14ac:dyDescent="0.25">
      <c r="BJ649" s="122"/>
      <c r="BK649" s="122"/>
      <c r="BL649" s="122"/>
    </row>
    <row r="650" spans="62:64" x14ac:dyDescent="0.25">
      <c r="BJ650" s="122"/>
      <c r="BK650" s="122"/>
      <c r="BL650" s="122"/>
    </row>
    <row r="651" spans="62:64" x14ac:dyDescent="0.25">
      <c r="BJ651" s="122"/>
      <c r="BK651" s="122"/>
      <c r="BL651" s="122"/>
    </row>
    <row r="652" spans="62:64" x14ac:dyDescent="0.25">
      <c r="BJ652" s="122"/>
      <c r="BK652" s="122"/>
      <c r="BL652" s="122"/>
    </row>
    <row r="653" spans="62:64" x14ac:dyDescent="0.25">
      <c r="BJ653" s="122"/>
      <c r="BK653" s="122"/>
      <c r="BL653" s="122"/>
    </row>
    <row r="654" spans="62:64" x14ac:dyDescent="0.25">
      <c r="BJ654" s="122"/>
      <c r="BK654" s="122"/>
      <c r="BL654" s="122"/>
    </row>
    <row r="655" spans="62:64" x14ac:dyDescent="0.25">
      <c r="BJ655" s="122"/>
      <c r="BK655" s="122"/>
      <c r="BL655" s="122"/>
    </row>
    <row r="656" spans="62:64" x14ac:dyDescent="0.25">
      <c r="BJ656" s="122"/>
      <c r="BK656" s="122"/>
      <c r="BL656" s="122"/>
    </row>
    <row r="657" spans="62:64" x14ac:dyDescent="0.25">
      <c r="BJ657" s="122"/>
      <c r="BK657" s="122"/>
      <c r="BL657" s="122"/>
    </row>
    <row r="658" spans="62:64" x14ac:dyDescent="0.25">
      <c r="BJ658" s="122"/>
      <c r="BK658" s="122"/>
      <c r="BL658" s="122"/>
    </row>
    <row r="659" spans="62:64" x14ac:dyDescent="0.25">
      <c r="BJ659" s="122"/>
      <c r="BK659" s="122"/>
      <c r="BL659" s="122"/>
    </row>
    <row r="660" spans="62:64" x14ac:dyDescent="0.25">
      <c r="BJ660" s="122"/>
      <c r="BK660" s="122"/>
      <c r="BL660" s="122"/>
    </row>
    <row r="661" spans="62:64" x14ac:dyDescent="0.25">
      <c r="BJ661" s="122"/>
      <c r="BK661" s="122"/>
      <c r="BL661" s="122"/>
    </row>
    <row r="662" spans="62:64" x14ac:dyDescent="0.25">
      <c r="BJ662" s="122"/>
      <c r="BK662" s="122"/>
      <c r="BL662" s="122"/>
    </row>
    <row r="663" spans="62:64" x14ac:dyDescent="0.25">
      <c r="BJ663" s="122"/>
      <c r="BK663" s="122"/>
      <c r="BL663" s="122"/>
    </row>
    <row r="664" spans="62:64" x14ac:dyDescent="0.25">
      <c r="BJ664" s="122"/>
      <c r="BK664" s="122"/>
      <c r="BL664" s="122"/>
    </row>
    <row r="665" spans="62:64" x14ac:dyDescent="0.25">
      <c r="BJ665" s="122"/>
      <c r="BK665" s="122"/>
      <c r="BL665" s="122"/>
    </row>
    <row r="666" spans="62:64" x14ac:dyDescent="0.25">
      <c r="BJ666" s="122"/>
      <c r="BK666" s="122"/>
      <c r="BL666" s="122"/>
    </row>
    <row r="667" spans="62:64" x14ac:dyDescent="0.25">
      <c r="BJ667" s="122"/>
      <c r="BK667" s="122"/>
      <c r="BL667" s="122"/>
    </row>
    <row r="668" spans="62:64" x14ac:dyDescent="0.25">
      <c r="BJ668" s="122"/>
      <c r="BK668" s="122"/>
      <c r="BL668" s="122"/>
    </row>
    <row r="669" spans="62:64" x14ac:dyDescent="0.25">
      <c r="BJ669" s="122"/>
      <c r="BK669" s="122"/>
      <c r="BL669" s="122"/>
    </row>
    <row r="670" spans="62:64" x14ac:dyDescent="0.25">
      <c r="BJ670" s="122"/>
      <c r="BK670" s="122"/>
      <c r="BL670" s="122"/>
    </row>
    <row r="671" spans="62:64" x14ac:dyDescent="0.25">
      <c r="BJ671" s="122"/>
      <c r="BK671" s="122"/>
      <c r="BL671" s="122"/>
    </row>
    <row r="672" spans="62:64" x14ac:dyDescent="0.25">
      <c r="BJ672" s="122"/>
      <c r="BK672" s="122"/>
      <c r="BL672" s="122"/>
    </row>
    <row r="673" spans="62:64" x14ac:dyDescent="0.25">
      <c r="BJ673" s="122"/>
      <c r="BK673" s="122"/>
      <c r="BL673" s="122"/>
    </row>
    <row r="674" spans="62:64" x14ac:dyDescent="0.25">
      <c r="BJ674" s="122"/>
      <c r="BK674" s="122"/>
      <c r="BL674" s="122"/>
    </row>
    <row r="675" spans="62:64" x14ac:dyDescent="0.25">
      <c r="BJ675" s="122"/>
      <c r="BK675" s="122"/>
      <c r="BL675" s="122"/>
    </row>
    <row r="676" spans="62:64" x14ac:dyDescent="0.25">
      <c r="BJ676" s="122"/>
      <c r="BK676" s="122"/>
      <c r="BL676" s="122"/>
    </row>
    <row r="677" spans="62:64" x14ac:dyDescent="0.25">
      <c r="BJ677" s="122"/>
      <c r="BK677" s="122"/>
      <c r="BL677" s="122"/>
    </row>
    <row r="678" spans="62:64" x14ac:dyDescent="0.25">
      <c r="BJ678" s="122"/>
      <c r="BK678" s="122"/>
      <c r="BL678" s="122"/>
    </row>
    <row r="679" spans="62:64" x14ac:dyDescent="0.25">
      <c r="BJ679" s="122"/>
      <c r="BK679" s="122"/>
      <c r="BL679" s="122"/>
    </row>
    <row r="680" spans="62:64" x14ac:dyDescent="0.25">
      <c r="BJ680" s="122"/>
      <c r="BK680" s="122"/>
      <c r="BL680" s="122"/>
    </row>
    <row r="681" spans="62:64" x14ac:dyDescent="0.25">
      <c r="BJ681" s="122"/>
      <c r="BK681" s="122"/>
      <c r="BL681" s="122"/>
    </row>
    <row r="682" spans="62:64" x14ac:dyDescent="0.25">
      <c r="BJ682" s="122"/>
      <c r="BK682" s="122"/>
      <c r="BL682" s="122"/>
    </row>
    <row r="683" spans="62:64" x14ac:dyDescent="0.25">
      <c r="BJ683" s="122"/>
      <c r="BK683" s="122"/>
      <c r="BL683" s="122"/>
    </row>
    <row r="684" spans="62:64" x14ac:dyDescent="0.25">
      <c r="BJ684" s="122"/>
      <c r="BK684" s="122"/>
      <c r="BL684" s="122"/>
    </row>
    <row r="685" spans="62:64" x14ac:dyDescent="0.25">
      <c r="BJ685" s="122"/>
      <c r="BK685" s="122"/>
      <c r="BL685" s="122"/>
    </row>
    <row r="686" spans="62:64" x14ac:dyDescent="0.25">
      <c r="BJ686" s="122"/>
      <c r="BK686" s="122"/>
      <c r="BL686" s="122"/>
    </row>
    <row r="687" spans="62:64" x14ac:dyDescent="0.25">
      <c r="BJ687" s="122"/>
      <c r="BK687" s="122"/>
      <c r="BL687" s="122"/>
    </row>
    <row r="688" spans="62:64" x14ac:dyDescent="0.25">
      <c r="BJ688" s="122"/>
      <c r="BK688" s="122"/>
      <c r="BL688" s="122"/>
    </row>
    <row r="689" spans="62:64" x14ac:dyDescent="0.25">
      <c r="BJ689" s="122"/>
      <c r="BK689" s="122"/>
      <c r="BL689" s="122"/>
    </row>
    <row r="690" spans="62:64" x14ac:dyDescent="0.25">
      <c r="BJ690" s="122"/>
      <c r="BK690" s="122"/>
      <c r="BL690" s="122"/>
    </row>
    <row r="691" spans="62:64" x14ac:dyDescent="0.25">
      <c r="BJ691" s="122"/>
      <c r="BK691" s="122"/>
      <c r="BL691" s="122"/>
    </row>
    <row r="692" spans="62:64" x14ac:dyDescent="0.25">
      <c r="BJ692" s="122"/>
      <c r="BK692" s="122"/>
      <c r="BL692" s="122"/>
    </row>
    <row r="693" spans="62:64" x14ac:dyDescent="0.25">
      <c r="BJ693" s="122"/>
      <c r="BK693" s="122"/>
      <c r="BL693" s="122"/>
    </row>
    <row r="694" spans="62:64" x14ac:dyDescent="0.25">
      <c r="BJ694" s="122"/>
      <c r="BK694" s="122"/>
      <c r="BL694" s="122"/>
    </row>
    <row r="695" spans="62:64" x14ac:dyDescent="0.25">
      <c r="BJ695" s="122"/>
      <c r="BK695" s="122"/>
      <c r="BL695" s="122"/>
    </row>
    <row r="696" spans="62:64" x14ac:dyDescent="0.25">
      <c r="BJ696" s="122"/>
      <c r="BK696" s="122"/>
      <c r="BL696" s="122"/>
    </row>
    <row r="697" spans="62:64" x14ac:dyDescent="0.25">
      <c r="BJ697" s="122"/>
      <c r="BK697" s="122"/>
      <c r="BL697" s="122"/>
    </row>
    <row r="698" spans="62:64" x14ac:dyDescent="0.25">
      <c r="BJ698" s="122"/>
      <c r="BK698" s="122"/>
      <c r="BL698" s="122"/>
    </row>
    <row r="699" spans="62:64" x14ac:dyDescent="0.25">
      <c r="BJ699" s="122"/>
      <c r="BK699" s="122"/>
      <c r="BL699" s="122"/>
    </row>
    <row r="700" spans="62:64" x14ac:dyDescent="0.25">
      <c r="BJ700" s="122"/>
      <c r="BK700" s="122"/>
      <c r="BL700" s="122"/>
    </row>
    <row r="701" spans="62:64" x14ac:dyDescent="0.25">
      <c r="BJ701" s="122"/>
      <c r="BK701" s="122"/>
      <c r="BL701" s="122"/>
    </row>
    <row r="702" spans="62:64" x14ac:dyDescent="0.25">
      <c r="BJ702" s="122"/>
      <c r="BK702" s="122"/>
      <c r="BL702" s="122"/>
    </row>
    <row r="703" spans="62:64" x14ac:dyDescent="0.25">
      <c r="BJ703" s="122"/>
      <c r="BK703" s="122"/>
      <c r="BL703" s="122"/>
    </row>
    <row r="704" spans="62:64" x14ac:dyDescent="0.25">
      <c r="BJ704" s="122"/>
      <c r="BK704" s="122"/>
      <c r="BL704" s="122"/>
    </row>
    <row r="705" spans="62:64" x14ac:dyDescent="0.25">
      <c r="BJ705" s="122"/>
      <c r="BK705" s="122"/>
      <c r="BL705" s="122"/>
    </row>
    <row r="706" spans="62:64" x14ac:dyDescent="0.25">
      <c r="BJ706" s="122"/>
      <c r="BK706" s="122"/>
      <c r="BL706" s="122"/>
    </row>
    <row r="707" spans="62:64" x14ac:dyDescent="0.25">
      <c r="BJ707" s="122"/>
      <c r="BK707" s="122"/>
      <c r="BL707" s="122"/>
    </row>
    <row r="708" spans="62:64" x14ac:dyDescent="0.25">
      <c r="BJ708" s="122"/>
      <c r="BK708" s="122"/>
      <c r="BL708" s="122"/>
    </row>
    <row r="709" spans="62:64" x14ac:dyDescent="0.25">
      <c r="BJ709" s="122"/>
      <c r="BK709" s="122"/>
      <c r="BL709" s="122"/>
    </row>
    <row r="710" spans="62:64" x14ac:dyDescent="0.25">
      <c r="BJ710" s="122"/>
      <c r="BK710" s="122"/>
      <c r="BL710" s="122"/>
    </row>
    <row r="711" spans="62:64" x14ac:dyDescent="0.25">
      <c r="BJ711" s="122"/>
      <c r="BK711" s="122"/>
      <c r="BL711" s="122"/>
    </row>
    <row r="712" spans="62:64" x14ac:dyDescent="0.25">
      <c r="BJ712" s="122"/>
      <c r="BK712" s="122"/>
      <c r="BL712" s="122"/>
    </row>
    <row r="713" spans="62:64" x14ac:dyDescent="0.25">
      <c r="BJ713" s="122"/>
      <c r="BK713" s="122"/>
      <c r="BL713" s="122"/>
    </row>
    <row r="714" spans="62:64" x14ac:dyDescent="0.25">
      <c r="BJ714" s="122"/>
      <c r="BK714" s="122"/>
      <c r="BL714" s="122"/>
    </row>
    <row r="715" spans="62:64" x14ac:dyDescent="0.25">
      <c r="BJ715" s="122"/>
      <c r="BK715" s="122"/>
      <c r="BL715" s="122"/>
    </row>
    <row r="716" spans="62:64" x14ac:dyDescent="0.25">
      <c r="BJ716" s="122"/>
      <c r="BK716" s="122"/>
      <c r="BL716" s="122"/>
    </row>
    <row r="717" spans="62:64" x14ac:dyDescent="0.25">
      <c r="BJ717" s="122"/>
      <c r="BK717" s="122"/>
      <c r="BL717" s="122"/>
    </row>
    <row r="718" spans="62:64" x14ac:dyDescent="0.25">
      <c r="BJ718" s="122"/>
      <c r="BK718" s="122"/>
      <c r="BL718" s="122"/>
    </row>
    <row r="719" spans="62:64" x14ac:dyDescent="0.25">
      <c r="BJ719" s="122"/>
      <c r="BK719" s="122"/>
      <c r="BL719" s="122"/>
    </row>
    <row r="720" spans="62:64" x14ac:dyDescent="0.25">
      <c r="BJ720" s="122"/>
      <c r="BK720" s="122"/>
      <c r="BL720" s="122"/>
    </row>
    <row r="721" spans="62:64" x14ac:dyDescent="0.25">
      <c r="BJ721" s="122"/>
      <c r="BK721" s="122"/>
      <c r="BL721" s="122"/>
    </row>
    <row r="722" spans="62:64" x14ac:dyDescent="0.25">
      <c r="BJ722" s="122"/>
      <c r="BK722" s="122"/>
      <c r="BL722" s="122"/>
    </row>
    <row r="723" spans="62:64" x14ac:dyDescent="0.25">
      <c r="BJ723" s="122"/>
      <c r="BK723" s="122"/>
      <c r="BL723" s="122"/>
    </row>
    <row r="724" spans="62:64" x14ac:dyDescent="0.25">
      <c r="BJ724" s="122"/>
      <c r="BK724" s="122"/>
      <c r="BL724" s="122"/>
    </row>
    <row r="725" spans="62:64" x14ac:dyDescent="0.25">
      <c r="BJ725" s="122"/>
      <c r="BK725" s="122"/>
      <c r="BL725" s="122"/>
    </row>
    <row r="726" spans="62:64" x14ac:dyDescent="0.25">
      <c r="BJ726" s="122"/>
      <c r="BK726" s="122"/>
      <c r="BL726" s="122"/>
    </row>
    <row r="727" spans="62:64" x14ac:dyDescent="0.25">
      <c r="BJ727" s="122"/>
      <c r="BK727" s="122"/>
      <c r="BL727" s="122"/>
    </row>
    <row r="728" spans="62:64" x14ac:dyDescent="0.25">
      <c r="BJ728" s="122"/>
      <c r="BK728" s="122"/>
      <c r="BL728" s="122"/>
    </row>
    <row r="729" spans="62:64" x14ac:dyDescent="0.25">
      <c r="BJ729" s="122"/>
      <c r="BK729" s="122"/>
      <c r="BL729" s="122"/>
    </row>
    <row r="730" spans="62:64" x14ac:dyDescent="0.25">
      <c r="BJ730" s="122"/>
      <c r="BK730" s="122"/>
      <c r="BL730" s="122"/>
    </row>
    <row r="731" spans="62:64" x14ac:dyDescent="0.25">
      <c r="BJ731" s="122"/>
      <c r="BK731" s="122"/>
      <c r="BL731" s="122"/>
    </row>
    <row r="732" spans="62:64" x14ac:dyDescent="0.25">
      <c r="BJ732" s="122"/>
      <c r="BK732" s="122"/>
      <c r="BL732" s="122"/>
    </row>
    <row r="733" spans="62:64" x14ac:dyDescent="0.25">
      <c r="BJ733" s="122"/>
      <c r="BK733" s="122"/>
      <c r="BL733" s="122"/>
    </row>
    <row r="734" spans="62:64" x14ac:dyDescent="0.25">
      <c r="BJ734" s="122"/>
      <c r="BK734" s="122"/>
      <c r="BL734" s="122"/>
    </row>
    <row r="735" spans="62:64" x14ac:dyDescent="0.25">
      <c r="BJ735" s="122"/>
      <c r="BK735" s="122"/>
      <c r="BL735" s="122"/>
    </row>
    <row r="736" spans="62:64" x14ac:dyDescent="0.25">
      <c r="BJ736" s="122"/>
      <c r="BK736" s="122"/>
      <c r="BL736" s="122"/>
    </row>
    <row r="737" spans="62:64" x14ac:dyDescent="0.25">
      <c r="BJ737" s="122"/>
      <c r="BK737" s="122"/>
      <c r="BL737" s="122"/>
    </row>
    <row r="738" spans="62:64" x14ac:dyDescent="0.25">
      <c r="BJ738" s="122"/>
      <c r="BK738" s="122"/>
      <c r="BL738" s="122"/>
    </row>
    <row r="739" spans="62:64" x14ac:dyDescent="0.25">
      <c r="BJ739" s="122"/>
      <c r="BK739" s="122"/>
      <c r="BL739" s="122"/>
    </row>
    <row r="740" spans="62:64" x14ac:dyDescent="0.25">
      <c r="BJ740" s="122"/>
      <c r="BK740" s="122"/>
      <c r="BL740" s="122"/>
    </row>
    <row r="741" spans="62:64" x14ac:dyDescent="0.25">
      <c r="BJ741" s="122"/>
      <c r="BK741" s="122"/>
      <c r="BL741" s="122"/>
    </row>
    <row r="742" spans="62:64" x14ac:dyDescent="0.25">
      <c r="BJ742" s="122"/>
      <c r="BK742" s="122"/>
      <c r="BL742" s="122"/>
    </row>
    <row r="743" spans="62:64" x14ac:dyDescent="0.25">
      <c r="BJ743" s="122"/>
      <c r="BK743" s="122"/>
      <c r="BL743" s="122"/>
    </row>
    <row r="744" spans="62:64" x14ac:dyDescent="0.25">
      <c r="BJ744" s="122"/>
      <c r="BK744" s="122"/>
      <c r="BL744" s="122"/>
    </row>
    <row r="745" spans="62:64" x14ac:dyDescent="0.25">
      <c r="BJ745" s="122"/>
      <c r="BK745" s="122"/>
      <c r="BL745" s="122"/>
    </row>
    <row r="746" spans="62:64" x14ac:dyDescent="0.25">
      <c r="BJ746" s="122"/>
      <c r="BK746" s="122"/>
      <c r="BL746" s="122"/>
    </row>
    <row r="747" spans="62:64" x14ac:dyDescent="0.25">
      <c r="BJ747" s="122"/>
      <c r="BK747" s="122"/>
      <c r="BL747" s="122"/>
    </row>
    <row r="748" spans="62:64" x14ac:dyDescent="0.25">
      <c r="BJ748" s="122"/>
      <c r="BK748" s="122"/>
      <c r="BL748" s="122"/>
    </row>
    <row r="749" spans="62:64" x14ac:dyDescent="0.25">
      <c r="BJ749" s="122"/>
      <c r="BK749" s="122"/>
      <c r="BL749" s="122"/>
    </row>
    <row r="750" spans="62:64" x14ac:dyDescent="0.25">
      <c r="BJ750" s="122"/>
      <c r="BK750" s="122"/>
      <c r="BL750" s="122"/>
    </row>
    <row r="751" spans="62:64" x14ac:dyDescent="0.25">
      <c r="BJ751" s="122"/>
      <c r="BK751" s="122"/>
      <c r="BL751" s="122"/>
    </row>
    <row r="752" spans="62:64" x14ac:dyDescent="0.25">
      <c r="BJ752" s="122"/>
      <c r="BK752" s="122"/>
      <c r="BL752" s="122"/>
    </row>
    <row r="753" spans="62:64" x14ac:dyDescent="0.25">
      <c r="BJ753" s="122"/>
      <c r="BK753" s="122"/>
      <c r="BL753" s="122"/>
    </row>
    <row r="754" spans="62:64" x14ac:dyDescent="0.25">
      <c r="BJ754" s="122"/>
      <c r="BK754" s="122"/>
      <c r="BL754" s="122"/>
    </row>
    <row r="755" spans="62:64" x14ac:dyDescent="0.25">
      <c r="BJ755" s="122"/>
      <c r="BK755" s="122"/>
      <c r="BL755" s="122"/>
    </row>
    <row r="756" spans="62:64" x14ac:dyDescent="0.25">
      <c r="BJ756" s="122"/>
      <c r="BK756" s="122"/>
      <c r="BL756" s="122"/>
    </row>
    <row r="757" spans="62:64" x14ac:dyDescent="0.25">
      <c r="BJ757" s="122"/>
      <c r="BK757" s="122"/>
      <c r="BL757" s="122"/>
    </row>
    <row r="758" spans="62:64" x14ac:dyDescent="0.25">
      <c r="BJ758" s="122"/>
      <c r="BK758" s="122"/>
      <c r="BL758" s="122"/>
    </row>
    <row r="759" spans="62:64" x14ac:dyDescent="0.25">
      <c r="BJ759" s="122"/>
      <c r="BK759" s="122"/>
      <c r="BL759" s="122"/>
    </row>
    <row r="760" spans="62:64" x14ac:dyDescent="0.25">
      <c r="BJ760" s="122"/>
      <c r="BK760" s="122"/>
      <c r="BL760" s="122"/>
    </row>
    <row r="761" spans="62:64" x14ac:dyDescent="0.25">
      <c r="BJ761" s="122"/>
      <c r="BK761" s="122"/>
      <c r="BL761" s="122"/>
    </row>
    <row r="762" spans="62:64" x14ac:dyDescent="0.25">
      <c r="BJ762" s="122"/>
      <c r="BK762" s="122"/>
      <c r="BL762" s="122"/>
    </row>
    <row r="763" spans="62:64" x14ac:dyDescent="0.25">
      <c r="BJ763" s="122"/>
      <c r="BK763" s="122"/>
      <c r="BL763" s="122"/>
    </row>
    <row r="764" spans="62:64" x14ac:dyDescent="0.25">
      <c r="BJ764" s="122"/>
      <c r="BK764" s="122"/>
      <c r="BL764" s="122"/>
    </row>
    <row r="765" spans="62:64" x14ac:dyDescent="0.25">
      <c r="BJ765" s="122"/>
      <c r="BK765" s="122"/>
      <c r="BL765" s="122"/>
    </row>
    <row r="766" spans="62:64" x14ac:dyDescent="0.25">
      <c r="BJ766" s="122"/>
      <c r="BK766" s="122"/>
      <c r="BL766" s="122"/>
    </row>
    <row r="767" spans="62:64" x14ac:dyDescent="0.25">
      <c r="BJ767" s="122"/>
      <c r="BK767" s="122"/>
      <c r="BL767" s="122"/>
    </row>
    <row r="768" spans="62:64" x14ac:dyDescent="0.25">
      <c r="BJ768" s="122"/>
      <c r="BK768" s="122"/>
      <c r="BL768" s="122"/>
    </row>
    <row r="769" spans="62:64" x14ac:dyDescent="0.25">
      <c r="BJ769" s="122"/>
      <c r="BK769" s="122"/>
      <c r="BL769" s="122"/>
    </row>
    <row r="770" spans="62:64" x14ac:dyDescent="0.25">
      <c r="BJ770" s="122"/>
      <c r="BK770" s="122"/>
      <c r="BL770" s="122"/>
    </row>
    <row r="771" spans="62:64" x14ac:dyDescent="0.25">
      <c r="BJ771" s="122"/>
      <c r="BK771" s="122"/>
      <c r="BL771" s="122"/>
    </row>
    <row r="772" spans="62:64" x14ac:dyDescent="0.25">
      <c r="BJ772" s="122"/>
      <c r="BK772" s="122"/>
      <c r="BL772" s="122"/>
    </row>
    <row r="773" spans="62:64" x14ac:dyDescent="0.25">
      <c r="BJ773" s="122"/>
      <c r="BK773" s="122"/>
      <c r="BL773" s="122"/>
    </row>
    <row r="774" spans="62:64" x14ac:dyDescent="0.25">
      <c r="BJ774" s="122"/>
      <c r="BK774" s="122"/>
      <c r="BL774" s="122"/>
    </row>
    <row r="775" spans="62:64" x14ac:dyDescent="0.25">
      <c r="BJ775" s="122"/>
      <c r="BK775" s="122"/>
      <c r="BL775" s="122"/>
    </row>
    <row r="776" spans="62:64" x14ac:dyDescent="0.25">
      <c r="BJ776" s="122"/>
      <c r="BK776" s="122"/>
      <c r="BL776" s="122"/>
    </row>
    <row r="777" spans="62:64" x14ac:dyDescent="0.25">
      <c r="BJ777" s="122"/>
      <c r="BK777" s="122"/>
      <c r="BL777" s="122"/>
    </row>
    <row r="778" spans="62:64" x14ac:dyDescent="0.25">
      <c r="BJ778" s="122"/>
      <c r="BK778" s="122"/>
      <c r="BL778" s="122"/>
    </row>
    <row r="779" spans="62:64" x14ac:dyDescent="0.25">
      <c r="BJ779" s="122"/>
      <c r="BK779" s="122"/>
      <c r="BL779" s="122"/>
    </row>
    <row r="780" spans="62:64" x14ac:dyDescent="0.25">
      <c r="BJ780" s="122"/>
      <c r="BK780" s="122"/>
      <c r="BL780" s="122"/>
    </row>
    <row r="781" spans="62:64" x14ac:dyDescent="0.25">
      <c r="BJ781" s="122"/>
      <c r="BK781" s="122"/>
      <c r="BL781" s="122"/>
    </row>
    <row r="782" spans="62:64" x14ac:dyDescent="0.25">
      <c r="BJ782" s="122"/>
      <c r="BK782" s="122"/>
      <c r="BL782" s="122"/>
    </row>
    <row r="783" spans="62:64" x14ac:dyDescent="0.25">
      <c r="BJ783" s="122"/>
      <c r="BK783" s="122"/>
      <c r="BL783" s="122"/>
    </row>
    <row r="784" spans="62:64" x14ac:dyDescent="0.25">
      <c r="BJ784" s="122"/>
      <c r="BK784" s="122"/>
      <c r="BL784" s="122"/>
    </row>
    <row r="785" spans="62:64" x14ac:dyDescent="0.25">
      <c r="BJ785" s="122"/>
      <c r="BK785" s="122"/>
      <c r="BL785" s="122"/>
    </row>
    <row r="786" spans="62:64" x14ac:dyDescent="0.25">
      <c r="BJ786" s="122"/>
      <c r="BK786" s="122"/>
      <c r="BL786" s="122"/>
    </row>
    <row r="787" spans="62:64" x14ac:dyDescent="0.25">
      <c r="BJ787" s="122"/>
      <c r="BK787" s="122"/>
      <c r="BL787" s="122"/>
    </row>
    <row r="788" spans="62:64" x14ac:dyDescent="0.25">
      <c r="BJ788" s="122"/>
      <c r="BK788" s="122"/>
      <c r="BL788" s="122"/>
    </row>
    <row r="789" spans="62:64" x14ac:dyDescent="0.25">
      <c r="BJ789" s="122"/>
      <c r="BK789" s="122"/>
      <c r="BL789" s="122"/>
    </row>
    <row r="790" spans="62:64" x14ac:dyDescent="0.25">
      <c r="BJ790" s="122"/>
      <c r="BK790" s="122"/>
      <c r="BL790" s="122"/>
    </row>
    <row r="791" spans="62:64" x14ac:dyDescent="0.25">
      <c r="BJ791" s="122"/>
      <c r="BK791" s="122"/>
      <c r="BL791" s="122"/>
    </row>
    <row r="792" spans="62:64" x14ac:dyDescent="0.25">
      <c r="BJ792" s="122"/>
      <c r="BK792" s="122"/>
      <c r="BL792" s="122"/>
    </row>
    <row r="793" spans="62:64" x14ac:dyDescent="0.25">
      <c r="BJ793" s="122"/>
      <c r="BK793" s="122"/>
      <c r="BL793" s="122"/>
    </row>
    <row r="794" spans="62:64" x14ac:dyDescent="0.25">
      <c r="BJ794" s="122"/>
      <c r="BK794" s="122"/>
      <c r="BL794" s="122"/>
    </row>
    <row r="795" spans="62:64" x14ac:dyDescent="0.25">
      <c r="BJ795" s="122"/>
      <c r="BK795" s="122"/>
      <c r="BL795" s="122"/>
    </row>
    <row r="796" spans="62:64" x14ac:dyDescent="0.25">
      <c r="BJ796" s="122"/>
      <c r="BK796" s="122"/>
      <c r="BL796" s="122"/>
    </row>
    <row r="797" spans="62:64" x14ac:dyDescent="0.25">
      <c r="BJ797" s="122"/>
      <c r="BK797" s="122"/>
      <c r="BL797" s="122"/>
    </row>
    <row r="798" spans="62:64" x14ac:dyDescent="0.25">
      <c r="BJ798" s="122"/>
      <c r="BK798" s="122"/>
      <c r="BL798" s="122"/>
    </row>
    <row r="799" spans="62:64" x14ac:dyDescent="0.25">
      <c r="BJ799" s="122"/>
      <c r="BK799" s="122"/>
      <c r="BL799" s="122"/>
    </row>
    <row r="800" spans="62:64" x14ac:dyDescent="0.25">
      <c r="BJ800" s="122"/>
      <c r="BK800" s="122"/>
      <c r="BL800" s="122"/>
    </row>
    <row r="801" spans="62:64" x14ac:dyDescent="0.25">
      <c r="BJ801" s="122"/>
      <c r="BK801" s="122"/>
      <c r="BL801" s="122"/>
    </row>
    <row r="802" spans="62:64" x14ac:dyDescent="0.25">
      <c r="BJ802" s="122"/>
      <c r="BK802" s="122"/>
      <c r="BL802" s="122"/>
    </row>
    <row r="803" spans="62:64" x14ac:dyDescent="0.25">
      <c r="BJ803" s="122"/>
      <c r="BK803" s="122"/>
      <c r="BL803" s="122"/>
    </row>
    <row r="804" spans="62:64" x14ac:dyDescent="0.25">
      <c r="BJ804" s="122"/>
      <c r="BK804" s="122"/>
      <c r="BL804" s="122"/>
    </row>
    <row r="805" spans="62:64" x14ac:dyDescent="0.25">
      <c r="BJ805" s="122"/>
      <c r="BK805" s="122"/>
      <c r="BL805" s="122"/>
    </row>
    <row r="806" spans="62:64" x14ac:dyDescent="0.25">
      <c r="BJ806" s="122"/>
      <c r="BK806" s="122"/>
      <c r="BL806" s="122"/>
    </row>
    <row r="807" spans="62:64" x14ac:dyDescent="0.25">
      <c r="BJ807" s="122"/>
      <c r="BK807" s="122"/>
      <c r="BL807" s="122"/>
    </row>
    <row r="808" spans="62:64" x14ac:dyDescent="0.25">
      <c r="BJ808" s="122"/>
      <c r="BK808" s="122"/>
      <c r="BL808" s="122"/>
    </row>
    <row r="809" spans="62:64" x14ac:dyDescent="0.25">
      <c r="BJ809" s="122"/>
      <c r="BK809" s="122"/>
      <c r="BL809" s="122"/>
    </row>
    <row r="810" spans="62:64" x14ac:dyDescent="0.25">
      <c r="BJ810" s="122"/>
      <c r="BK810" s="122"/>
      <c r="BL810" s="122"/>
    </row>
    <row r="811" spans="62:64" x14ac:dyDescent="0.25">
      <c r="BJ811" s="122"/>
      <c r="BK811" s="122"/>
      <c r="BL811" s="122"/>
    </row>
    <row r="812" spans="62:64" x14ac:dyDescent="0.25">
      <c r="BJ812" s="122"/>
      <c r="BK812" s="122"/>
      <c r="BL812" s="122"/>
    </row>
    <row r="813" spans="62:64" x14ac:dyDescent="0.25">
      <c r="BJ813" s="122"/>
      <c r="BK813" s="122"/>
      <c r="BL813" s="122"/>
    </row>
    <row r="814" spans="62:64" x14ac:dyDescent="0.25">
      <c r="BJ814" s="122"/>
      <c r="BK814" s="122"/>
      <c r="BL814" s="122"/>
    </row>
    <row r="815" spans="62:64" x14ac:dyDescent="0.25">
      <c r="BJ815" s="122"/>
      <c r="BK815" s="122"/>
      <c r="BL815" s="122"/>
    </row>
    <row r="816" spans="62:64" x14ac:dyDescent="0.25">
      <c r="BJ816" s="122"/>
      <c r="BK816" s="122"/>
      <c r="BL816" s="122"/>
    </row>
    <row r="817" spans="62:64" x14ac:dyDescent="0.25">
      <c r="BJ817" s="122"/>
      <c r="BK817" s="122"/>
      <c r="BL817" s="122"/>
    </row>
    <row r="818" spans="62:64" x14ac:dyDescent="0.25">
      <c r="BJ818" s="122"/>
      <c r="BK818" s="122"/>
      <c r="BL818" s="122"/>
    </row>
    <row r="819" spans="62:64" x14ac:dyDescent="0.25">
      <c r="BJ819" s="122"/>
      <c r="BK819" s="122"/>
      <c r="BL819" s="122"/>
    </row>
    <row r="820" spans="62:64" x14ac:dyDescent="0.25">
      <c r="BJ820" s="122"/>
      <c r="BK820" s="122"/>
      <c r="BL820" s="122"/>
    </row>
    <row r="821" spans="62:64" x14ac:dyDescent="0.25">
      <c r="BJ821" s="122"/>
      <c r="BK821" s="122"/>
      <c r="BL821" s="122"/>
    </row>
    <row r="822" spans="62:64" x14ac:dyDescent="0.25">
      <c r="BJ822" s="122"/>
      <c r="BK822" s="122"/>
      <c r="BL822" s="122"/>
    </row>
    <row r="823" spans="62:64" x14ac:dyDescent="0.25">
      <c r="BJ823" s="122"/>
      <c r="BK823" s="122"/>
      <c r="BL823" s="122"/>
    </row>
    <row r="824" spans="62:64" x14ac:dyDescent="0.25">
      <c r="BJ824" s="122"/>
      <c r="BK824" s="122"/>
      <c r="BL824" s="122"/>
    </row>
    <row r="825" spans="62:64" x14ac:dyDescent="0.25">
      <c r="BJ825" s="122"/>
      <c r="BK825" s="122"/>
      <c r="BL825" s="122"/>
    </row>
    <row r="826" spans="62:64" x14ac:dyDescent="0.25">
      <c r="BJ826" s="122"/>
      <c r="BK826" s="122"/>
      <c r="BL826" s="122"/>
    </row>
    <row r="827" spans="62:64" x14ac:dyDescent="0.25">
      <c r="BJ827" s="122"/>
      <c r="BK827" s="122"/>
      <c r="BL827" s="122"/>
    </row>
    <row r="828" spans="62:64" x14ac:dyDescent="0.25">
      <c r="BJ828" s="122"/>
      <c r="BK828" s="122"/>
      <c r="BL828" s="122"/>
    </row>
    <row r="829" spans="62:64" x14ac:dyDescent="0.25">
      <c r="BJ829" s="122"/>
      <c r="BK829" s="122"/>
      <c r="BL829" s="122"/>
    </row>
    <row r="830" spans="62:64" x14ac:dyDescent="0.25">
      <c r="BJ830" s="122"/>
      <c r="BK830" s="122"/>
      <c r="BL830" s="122"/>
    </row>
    <row r="831" spans="62:64" x14ac:dyDescent="0.25">
      <c r="BJ831" s="122"/>
      <c r="BK831" s="122"/>
      <c r="BL831" s="122"/>
    </row>
    <row r="832" spans="62:64" x14ac:dyDescent="0.25">
      <c r="BJ832" s="122"/>
      <c r="BK832" s="122"/>
      <c r="BL832" s="122"/>
    </row>
    <row r="833" spans="62:64" x14ac:dyDescent="0.25">
      <c r="BJ833" s="122"/>
      <c r="BK833" s="122"/>
      <c r="BL833" s="122"/>
    </row>
    <row r="834" spans="62:64" x14ac:dyDescent="0.25">
      <c r="BJ834" s="122"/>
      <c r="BK834" s="122"/>
      <c r="BL834" s="122"/>
    </row>
    <row r="835" spans="62:64" x14ac:dyDescent="0.25">
      <c r="BJ835" s="122"/>
      <c r="BK835" s="122"/>
      <c r="BL835" s="122"/>
    </row>
    <row r="836" spans="62:64" x14ac:dyDescent="0.25">
      <c r="BJ836" s="122"/>
      <c r="BK836" s="122"/>
      <c r="BL836" s="122"/>
    </row>
    <row r="837" spans="62:64" x14ac:dyDescent="0.25">
      <c r="BJ837" s="122"/>
      <c r="BK837" s="122"/>
      <c r="BL837" s="122"/>
    </row>
    <row r="838" spans="62:64" x14ac:dyDescent="0.25">
      <c r="BJ838" s="122"/>
      <c r="BK838" s="122"/>
      <c r="BL838" s="122"/>
    </row>
    <row r="839" spans="62:64" x14ac:dyDescent="0.25">
      <c r="BJ839" s="122"/>
      <c r="BK839" s="122"/>
      <c r="BL839" s="122"/>
    </row>
    <row r="840" spans="62:64" x14ac:dyDescent="0.25">
      <c r="BJ840" s="122"/>
      <c r="BK840" s="122"/>
      <c r="BL840" s="122"/>
    </row>
    <row r="841" spans="62:64" x14ac:dyDescent="0.25">
      <c r="BJ841" s="122"/>
      <c r="BK841" s="122"/>
      <c r="BL841" s="122"/>
    </row>
    <row r="842" spans="62:64" x14ac:dyDescent="0.25">
      <c r="BJ842" s="122"/>
      <c r="BK842" s="122"/>
      <c r="BL842" s="122"/>
    </row>
    <row r="843" spans="62:64" x14ac:dyDescent="0.25">
      <c r="BJ843" s="122"/>
      <c r="BK843" s="122"/>
      <c r="BL843" s="122"/>
    </row>
    <row r="844" spans="62:64" x14ac:dyDescent="0.25">
      <c r="BJ844" s="122"/>
      <c r="BK844" s="122"/>
      <c r="BL844" s="122"/>
    </row>
    <row r="845" spans="62:64" x14ac:dyDescent="0.25">
      <c r="BJ845" s="122"/>
      <c r="BK845" s="122"/>
      <c r="BL845" s="122"/>
    </row>
    <row r="846" spans="62:64" x14ac:dyDescent="0.25">
      <c r="BJ846" s="122"/>
      <c r="BK846" s="122"/>
      <c r="BL846" s="122"/>
    </row>
    <row r="847" spans="62:64" x14ac:dyDescent="0.25">
      <c r="BJ847" s="122"/>
      <c r="BK847" s="122"/>
      <c r="BL847" s="122"/>
    </row>
    <row r="848" spans="62:64" x14ac:dyDescent="0.25">
      <c r="BJ848" s="122"/>
      <c r="BK848" s="122"/>
      <c r="BL848" s="122"/>
    </row>
    <row r="849" spans="62:64" x14ac:dyDescent="0.25">
      <c r="BJ849" s="122"/>
      <c r="BK849" s="122"/>
      <c r="BL849" s="122"/>
    </row>
    <row r="850" spans="62:64" x14ac:dyDescent="0.25">
      <c r="BJ850" s="122"/>
      <c r="BK850" s="122"/>
      <c r="BL850" s="122"/>
    </row>
    <row r="851" spans="62:64" x14ac:dyDescent="0.25">
      <c r="BJ851" s="122"/>
      <c r="BK851" s="122"/>
      <c r="BL851" s="122"/>
    </row>
    <row r="852" spans="62:64" x14ac:dyDescent="0.25">
      <c r="BJ852" s="122"/>
      <c r="BK852" s="122"/>
      <c r="BL852" s="122"/>
    </row>
    <row r="853" spans="62:64" x14ac:dyDescent="0.25">
      <c r="BJ853" s="122"/>
      <c r="BK853" s="122"/>
      <c r="BL853" s="122"/>
    </row>
    <row r="854" spans="62:64" x14ac:dyDescent="0.25">
      <c r="BJ854" s="122"/>
      <c r="BK854" s="122"/>
      <c r="BL854" s="122"/>
    </row>
    <row r="855" spans="62:64" x14ac:dyDescent="0.25">
      <c r="BJ855" s="122"/>
      <c r="BK855" s="122"/>
      <c r="BL855" s="122"/>
    </row>
    <row r="856" spans="62:64" x14ac:dyDescent="0.25">
      <c r="BJ856" s="122"/>
      <c r="BK856" s="122"/>
      <c r="BL856" s="122"/>
    </row>
    <row r="857" spans="62:64" x14ac:dyDescent="0.25">
      <c r="BJ857" s="122"/>
      <c r="BK857" s="122"/>
      <c r="BL857" s="122"/>
    </row>
    <row r="858" spans="62:64" x14ac:dyDescent="0.25">
      <c r="BJ858" s="122"/>
      <c r="BK858" s="122"/>
      <c r="BL858" s="122"/>
    </row>
    <row r="859" spans="62:64" x14ac:dyDescent="0.25">
      <c r="BJ859" s="122"/>
      <c r="BK859" s="122"/>
      <c r="BL859" s="122"/>
    </row>
    <row r="860" spans="62:64" x14ac:dyDescent="0.25">
      <c r="BJ860" s="122"/>
      <c r="BK860" s="122"/>
      <c r="BL860" s="122"/>
    </row>
    <row r="861" spans="62:64" x14ac:dyDescent="0.25">
      <c r="BJ861" s="122"/>
      <c r="BK861" s="122"/>
      <c r="BL861" s="122"/>
    </row>
    <row r="862" spans="62:64" x14ac:dyDescent="0.25">
      <c r="BJ862" s="122"/>
      <c r="BK862" s="122"/>
      <c r="BL862" s="122"/>
    </row>
    <row r="863" spans="62:64" x14ac:dyDescent="0.25">
      <c r="BJ863" s="122"/>
      <c r="BK863" s="122"/>
      <c r="BL863" s="122"/>
    </row>
    <row r="864" spans="62:64" x14ac:dyDescent="0.25">
      <c r="BJ864" s="122"/>
      <c r="BK864" s="122"/>
      <c r="BL864" s="122"/>
    </row>
    <row r="865" spans="62:64" x14ac:dyDescent="0.25">
      <c r="BJ865" s="122"/>
      <c r="BK865" s="122"/>
      <c r="BL865" s="122"/>
    </row>
    <row r="866" spans="62:64" x14ac:dyDescent="0.25">
      <c r="BJ866" s="122"/>
      <c r="BK866" s="122"/>
      <c r="BL866" s="122"/>
    </row>
    <row r="867" spans="62:64" x14ac:dyDescent="0.25">
      <c r="BJ867" s="122"/>
      <c r="BK867" s="122"/>
      <c r="BL867" s="122"/>
    </row>
    <row r="868" spans="62:64" x14ac:dyDescent="0.25">
      <c r="BJ868" s="122"/>
      <c r="BK868" s="122"/>
      <c r="BL868" s="122"/>
    </row>
    <row r="869" spans="62:64" x14ac:dyDescent="0.25">
      <c r="BJ869" s="122"/>
      <c r="BK869" s="122"/>
      <c r="BL869" s="122"/>
    </row>
    <row r="870" spans="62:64" x14ac:dyDescent="0.25">
      <c r="BJ870" s="122"/>
      <c r="BK870" s="122"/>
      <c r="BL870" s="122"/>
    </row>
    <row r="871" spans="62:64" x14ac:dyDescent="0.25">
      <c r="BJ871" s="122"/>
      <c r="BK871" s="122"/>
      <c r="BL871" s="122"/>
    </row>
    <row r="872" spans="62:64" x14ac:dyDescent="0.25">
      <c r="BJ872" s="122"/>
      <c r="BK872" s="122"/>
      <c r="BL872" s="122"/>
    </row>
    <row r="873" spans="62:64" x14ac:dyDescent="0.25">
      <c r="BJ873" s="122"/>
      <c r="BK873" s="122"/>
      <c r="BL873" s="122"/>
    </row>
    <row r="874" spans="62:64" x14ac:dyDescent="0.25">
      <c r="BJ874" s="122"/>
      <c r="BK874" s="122"/>
      <c r="BL874" s="122"/>
    </row>
    <row r="875" spans="62:64" x14ac:dyDescent="0.25">
      <c r="BJ875" s="122"/>
      <c r="BK875" s="122"/>
      <c r="BL875" s="122"/>
    </row>
    <row r="876" spans="62:64" x14ac:dyDescent="0.25">
      <c r="BJ876" s="122"/>
      <c r="BK876" s="122"/>
      <c r="BL876" s="122"/>
    </row>
    <row r="877" spans="62:64" x14ac:dyDescent="0.25">
      <c r="BJ877" s="122"/>
      <c r="BK877" s="122"/>
      <c r="BL877" s="122"/>
    </row>
    <row r="878" spans="62:64" x14ac:dyDescent="0.25">
      <c r="BJ878" s="122"/>
      <c r="BK878" s="122"/>
      <c r="BL878" s="122"/>
    </row>
    <row r="879" spans="62:64" x14ac:dyDescent="0.25">
      <c r="BJ879" s="122"/>
      <c r="BK879" s="122"/>
      <c r="BL879" s="122"/>
    </row>
    <row r="880" spans="62:64" x14ac:dyDescent="0.25">
      <c r="BJ880" s="122"/>
      <c r="BK880" s="122"/>
      <c r="BL880" s="122"/>
    </row>
    <row r="881" spans="62:64" x14ac:dyDescent="0.25">
      <c r="BJ881" s="122"/>
      <c r="BK881" s="122"/>
      <c r="BL881" s="122"/>
    </row>
    <row r="882" spans="62:64" x14ac:dyDescent="0.25">
      <c r="BJ882" s="122"/>
      <c r="BK882" s="122"/>
      <c r="BL882" s="122"/>
    </row>
    <row r="883" spans="62:64" x14ac:dyDescent="0.25">
      <c r="BJ883" s="122"/>
      <c r="BK883" s="122"/>
      <c r="BL883" s="122"/>
    </row>
    <row r="884" spans="62:64" x14ac:dyDescent="0.25">
      <c r="BJ884" s="122"/>
      <c r="BK884" s="122"/>
      <c r="BL884" s="122"/>
    </row>
    <row r="885" spans="62:64" x14ac:dyDescent="0.25">
      <c r="BJ885" s="122"/>
      <c r="BK885" s="122"/>
      <c r="BL885" s="122"/>
    </row>
    <row r="886" spans="62:64" x14ac:dyDescent="0.25">
      <c r="BJ886" s="122"/>
      <c r="BK886" s="122"/>
      <c r="BL886" s="122"/>
    </row>
    <row r="887" spans="62:64" x14ac:dyDescent="0.25">
      <c r="BJ887" s="122"/>
      <c r="BK887" s="122"/>
      <c r="BL887" s="122"/>
    </row>
    <row r="888" spans="62:64" x14ac:dyDescent="0.25">
      <c r="BJ888" s="122"/>
      <c r="BK888" s="122"/>
      <c r="BL888" s="122"/>
    </row>
    <row r="889" spans="62:64" x14ac:dyDescent="0.25">
      <c r="BJ889" s="122"/>
      <c r="BK889" s="122"/>
      <c r="BL889" s="122"/>
    </row>
    <row r="890" spans="62:64" x14ac:dyDescent="0.25">
      <c r="BJ890" s="122"/>
      <c r="BK890" s="122"/>
      <c r="BL890" s="122"/>
    </row>
    <row r="891" spans="62:64" x14ac:dyDescent="0.25">
      <c r="BJ891" s="122"/>
      <c r="BK891" s="122"/>
      <c r="BL891" s="122"/>
    </row>
    <row r="892" spans="62:64" x14ac:dyDescent="0.25">
      <c r="BJ892" s="122"/>
      <c r="BK892" s="122"/>
      <c r="BL892" s="122"/>
    </row>
    <row r="893" spans="62:64" x14ac:dyDescent="0.25">
      <c r="BJ893" s="122"/>
      <c r="BK893" s="122"/>
      <c r="BL893" s="122"/>
    </row>
    <row r="894" spans="62:64" x14ac:dyDescent="0.25">
      <c r="BJ894" s="122"/>
      <c r="BK894" s="122"/>
      <c r="BL894" s="122"/>
    </row>
    <row r="895" spans="62:64" x14ac:dyDescent="0.25">
      <c r="BJ895" s="122"/>
      <c r="BK895" s="122"/>
      <c r="BL895" s="122"/>
    </row>
    <row r="896" spans="62:64" x14ac:dyDescent="0.25">
      <c r="BJ896" s="122"/>
      <c r="BK896" s="122"/>
      <c r="BL896" s="122"/>
    </row>
    <row r="897" spans="62:64" x14ac:dyDescent="0.25">
      <c r="BJ897" s="122"/>
      <c r="BK897" s="122"/>
      <c r="BL897" s="122"/>
    </row>
    <row r="898" spans="62:64" x14ac:dyDescent="0.25">
      <c r="BJ898" s="122"/>
      <c r="BK898" s="122"/>
      <c r="BL898" s="122"/>
    </row>
    <row r="899" spans="62:64" x14ac:dyDescent="0.25">
      <c r="BJ899" s="122"/>
      <c r="BK899" s="122"/>
      <c r="BL899" s="122"/>
    </row>
    <row r="900" spans="62:64" x14ac:dyDescent="0.25">
      <c r="BJ900" s="122"/>
      <c r="BK900" s="122"/>
      <c r="BL900" s="122"/>
    </row>
    <row r="901" spans="62:64" x14ac:dyDescent="0.25">
      <c r="BJ901" s="122"/>
      <c r="BK901" s="122"/>
      <c r="BL901" s="122"/>
    </row>
    <row r="902" spans="62:64" x14ac:dyDescent="0.25">
      <c r="BJ902" s="122"/>
      <c r="BK902" s="122"/>
      <c r="BL902" s="122"/>
    </row>
    <row r="903" spans="62:64" x14ac:dyDescent="0.25">
      <c r="BJ903" s="122"/>
      <c r="BK903" s="122"/>
      <c r="BL903" s="122"/>
    </row>
    <row r="904" spans="62:64" x14ac:dyDescent="0.25">
      <c r="BJ904" s="122"/>
      <c r="BK904" s="122"/>
      <c r="BL904" s="122"/>
    </row>
    <row r="905" spans="62:64" x14ac:dyDescent="0.25">
      <c r="BJ905" s="122"/>
      <c r="BK905" s="122"/>
      <c r="BL905" s="122"/>
    </row>
    <row r="906" spans="62:64" x14ac:dyDescent="0.25">
      <c r="BJ906" s="122"/>
      <c r="BK906" s="122"/>
      <c r="BL906" s="122"/>
    </row>
    <row r="907" spans="62:64" x14ac:dyDescent="0.25">
      <c r="BJ907" s="122"/>
      <c r="BK907" s="122"/>
      <c r="BL907" s="122"/>
    </row>
    <row r="908" spans="62:64" x14ac:dyDescent="0.25">
      <c r="BJ908" s="122"/>
      <c r="BK908" s="122"/>
      <c r="BL908" s="122"/>
    </row>
    <row r="909" spans="62:64" x14ac:dyDescent="0.25">
      <c r="BJ909" s="122"/>
      <c r="BK909" s="122"/>
      <c r="BL909" s="122"/>
    </row>
    <row r="910" spans="62:64" x14ac:dyDescent="0.25">
      <c r="BJ910" s="122"/>
      <c r="BK910" s="122"/>
      <c r="BL910" s="122"/>
    </row>
    <row r="911" spans="62:64" x14ac:dyDescent="0.25">
      <c r="BJ911" s="122"/>
      <c r="BK911" s="122"/>
      <c r="BL911" s="122"/>
    </row>
    <row r="912" spans="62:64" x14ac:dyDescent="0.25">
      <c r="BJ912" s="122"/>
      <c r="BK912" s="122"/>
      <c r="BL912" s="122"/>
    </row>
    <row r="913" spans="62:64" x14ac:dyDescent="0.25">
      <c r="BJ913" s="122"/>
      <c r="BK913" s="122"/>
      <c r="BL913" s="122"/>
    </row>
    <row r="914" spans="62:64" x14ac:dyDescent="0.25">
      <c r="BJ914" s="122"/>
      <c r="BK914" s="122"/>
      <c r="BL914" s="122"/>
    </row>
    <row r="915" spans="62:64" x14ac:dyDescent="0.25">
      <c r="BJ915" s="122"/>
      <c r="BK915" s="122"/>
      <c r="BL915" s="122"/>
    </row>
    <row r="916" spans="62:64" x14ac:dyDescent="0.25">
      <c r="BJ916" s="122"/>
      <c r="BK916" s="122"/>
      <c r="BL916" s="122"/>
    </row>
    <row r="917" spans="62:64" x14ac:dyDescent="0.25">
      <c r="BJ917" s="122"/>
      <c r="BK917" s="122"/>
      <c r="BL917" s="122"/>
    </row>
    <row r="918" spans="62:64" x14ac:dyDescent="0.25">
      <c r="BJ918" s="122"/>
      <c r="BK918" s="122"/>
      <c r="BL918" s="122"/>
    </row>
    <row r="919" spans="62:64" x14ac:dyDescent="0.25">
      <c r="BJ919" s="122"/>
      <c r="BK919" s="122"/>
      <c r="BL919" s="122"/>
    </row>
    <row r="920" spans="62:64" x14ac:dyDescent="0.25">
      <c r="BJ920" s="122"/>
      <c r="BK920" s="122"/>
      <c r="BL920" s="122"/>
    </row>
    <row r="921" spans="62:64" x14ac:dyDescent="0.25">
      <c r="BJ921" s="122"/>
      <c r="BK921" s="122"/>
      <c r="BL921" s="122"/>
    </row>
    <row r="922" spans="62:64" x14ac:dyDescent="0.25">
      <c r="BJ922" s="122"/>
      <c r="BK922" s="122"/>
      <c r="BL922" s="122"/>
    </row>
    <row r="923" spans="62:64" x14ac:dyDescent="0.25">
      <c r="BJ923" s="122"/>
      <c r="BK923" s="122"/>
      <c r="BL923" s="122"/>
    </row>
    <row r="924" spans="62:64" x14ac:dyDescent="0.25">
      <c r="BJ924" s="122"/>
      <c r="BK924" s="122"/>
      <c r="BL924" s="122"/>
    </row>
    <row r="925" spans="62:64" x14ac:dyDescent="0.25">
      <c r="BJ925" s="122"/>
      <c r="BK925" s="122"/>
      <c r="BL925" s="122"/>
    </row>
    <row r="926" spans="62:64" x14ac:dyDescent="0.25">
      <c r="BJ926" s="122"/>
      <c r="BK926" s="122"/>
      <c r="BL926" s="122"/>
    </row>
    <row r="927" spans="62:64" x14ac:dyDescent="0.25">
      <c r="BJ927" s="122"/>
      <c r="BK927" s="122"/>
      <c r="BL927" s="122"/>
    </row>
    <row r="928" spans="62:64" x14ac:dyDescent="0.25">
      <c r="BJ928" s="122"/>
      <c r="BK928" s="122"/>
      <c r="BL928" s="122"/>
    </row>
    <row r="929" spans="62:64" x14ac:dyDescent="0.25">
      <c r="BJ929" s="122"/>
      <c r="BK929" s="122"/>
      <c r="BL929" s="122"/>
    </row>
    <row r="930" spans="62:64" x14ac:dyDescent="0.25">
      <c r="BJ930" s="122"/>
      <c r="BK930" s="122"/>
      <c r="BL930" s="122"/>
    </row>
    <row r="931" spans="62:64" x14ac:dyDescent="0.25">
      <c r="BJ931" s="122"/>
      <c r="BK931" s="122"/>
      <c r="BL931" s="122"/>
    </row>
    <row r="932" spans="62:64" x14ac:dyDescent="0.25">
      <c r="BJ932" s="122"/>
      <c r="BK932" s="122"/>
      <c r="BL932" s="122"/>
    </row>
    <row r="933" spans="62:64" x14ac:dyDescent="0.25">
      <c r="BJ933" s="122"/>
      <c r="BK933" s="122"/>
      <c r="BL933" s="122"/>
    </row>
    <row r="934" spans="62:64" x14ac:dyDescent="0.25">
      <c r="BJ934" s="122"/>
      <c r="BK934" s="122"/>
      <c r="BL934" s="122"/>
    </row>
    <row r="935" spans="62:64" x14ac:dyDescent="0.25">
      <c r="BJ935" s="122"/>
      <c r="BK935" s="122"/>
      <c r="BL935" s="122"/>
    </row>
    <row r="936" spans="62:64" x14ac:dyDescent="0.25">
      <c r="BJ936" s="122"/>
      <c r="BK936" s="122"/>
      <c r="BL936" s="122"/>
    </row>
    <row r="937" spans="62:64" x14ac:dyDescent="0.25">
      <c r="BJ937" s="122"/>
      <c r="BK937" s="122"/>
      <c r="BL937" s="122"/>
    </row>
    <row r="938" spans="62:64" x14ac:dyDescent="0.25">
      <c r="BJ938" s="122"/>
      <c r="BK938" s="122"/>
      <c r="BL938" s="122"/>
    </row>
    <row r="939" spans="62:64" x14ac:dyDescent="0.25">
      <c r="BJ939" s="122"/>
      <c r="BK939" s="122"/>
      <c r="BL939" s="122"/>
    </row>
    <row r="940" spans="62:64" x14ac:dyDescent="0.25">
      <c r="BJ940" s="122"/>
      <c r="BK940" s="122"/>
      <c r="BL940" s="122"/>
    </row>
    <row r="941" spans="62:64" x14ac:dyDescent="0.25">
      <c r="BJ941" s="122"/>
      <c r="BK941" s="122"/>
      <c r="BL941" s="122"/>
    </row>
    <row r="942" spans="62:64" x14ac:dyDescent="0.25">
      <c r="BJ942" s="122"/>
      <c r="BK942" s="122"/>
      <c r="BL942" s="122"/>
    </row>
    <row r="943" spans="62:64" x14ac:dyDescent="0.25">
      <c r="BJ943" s="122"/>
      <c r="BK943" s="122"/>
      <c r="BL943" s="122"/>
    </row>
    <row r="944" spans="62:64" x14ac:dyDescent="0.25">
      <c r="BJ944" s="122"/>
      <c r="BK944" s="122"/>
      <c r="BL944" s="122"/>
    </row>
    <row r="945" spans="62:64" x14ac:dyDescent="0.25">
      <c r="BJ945" s="122"/>
      <c r="BK945" s="122"/>
      <c r="BL945" s="122"/>
    </row>
    <row r="946" spans="62:64" x14ac:dyDescent="0.25">
      <c r="BJ946" s="122"/>
      <c r="BK946" s="122"/>
      <c r="BL946" s="122"/>
    </row>
    <row r="947" spans="62:64" x14ac:dyDescent="0.25">
      <c r="BJ947" s="122"/>
      <c r="BK947" s="122"/>
      <c r="BL947" s="122"/>
    </row>
    <row r="948" spans="62:64" x14ac:dyDescent="0.25">
      <c r="BJ948" s="122"/>
      <c r="BK948" s="122"/>
      <c r="BL948" s="122"/>
    </row>
    <row r="949" spans="62:64" x14ac:dyDescent="0.25">
      <c r="BJ949" s="122"/>
      <c r="BK949" s="122"/>
      <c r="BL949" s="122"/>
    </row>
    <row r="950" spans="62:64" x14ac:dyDescent="0.25">
      <c r="BJ950" s="122"/>
      <c r="BK950" s="122"/>
      <c r="BL950" s="122"/>
    </row>
    <row r="951" spans="62:64" x14ac:dyDescent="0.25">
      <c r="BJ951" s="122"/>
      <c r="BK951" s="122"/>
      <c r="BL951" s="122"/>
    </row>
    <row r="952" spans="62:64" x14ac:dyDescent="0.25">
      <c r="BJ952" s="122"/>
      <c r="BK952" s="122"/>
      <c r="BL952" s="122"/>
    </row>
    <row r="953" spans="62:64" x14ac:dyDescent="0.25">
      <c r="BJ953" s="122"/>
      <c r="BK953" s="122"/>
      <c r="BL953" s="122"/>
    </row>
    <row r="954" spans="62:64" x14ac:dyDescent="0.25">
      <c r="BJ954" s="122"/>
      <c r="BK954" s="122"/>
      <c r="BL954" s="122"/>
    </row>
    <row r="955" spans="62:64" x14ac:dyDescent="0.25">
      <c r="BJ955" s="122"/>
      <c r="BK955" s="122"/>
      <c r="BL955" s="122"/>
    </row>
    <row r="956" spans="62:64" x14ac:dyDescent="0.25">
      <c r="BJ956" s="122"/>
      <c r="BK956" s="122"/>
      <c r="BL956" s="122"/>
    </row>
    <row r="957" spans="62:64" x14ac:dyDescent="0.25">
      <c r="BJ957" s="122"/>
      <c r="BK957" s="122"/>
      <c r="BL957" s="122"/>
    </row>
    <row r="958" spans="62:64" x14ac:dyDescent="0.25">
      <c r="BJ958" s="122"/>
      <c r="BK958" s="122"/>
      <c r="BL958" s="122"/>
    </row>
    <row r="959" spans="62:64" x14ac:dyDescent="0.25">
      <c r="BJ959" s="122"/>
      <c r="BK959" s="122"/>
      <c r="BL959" s="122"/>
    </row>
    <row r="960" spans="62:64" x14ac:dyDescent="0.25">
      <c r="BJ960" s="122"/>
      <c r="BK960" s="122"/>
      <c r="BL960" s="122"/>
    </row>
    <row r="961" spans="62:64" x14ac:dyDescent="0.25">
      <c r="BJ961" s="122"/>
      <c r="BK961" s="122"/>
      <c r="BL961" s="122"/>
    </row>
    <row r="962" spans="62:64" x14ac:dyDescent="0.25">
      <c r="BJ962" s="122"/>
      <c r="BK962" s="122"/>
      <c r="BL962" s="122"/>
    </row>
    <row r="963" spans="62:64" x14ac:dyDescent="0.25">
      <c r="BJ963" s="122"/>
      <c r="BK963" s="122"/>
      <c r="BL963" s="122"/>
    </row>
    <row r="964" spans="62:64" x14ac:dyDescent="0.25">
      <c r="BJ964" s="122"/>
      <c r="BK964" s="122"/>
      <c r="BL964" s="122"/>
    </row>
    <row r="965" spans="62:64" x14ac:dyDescent="0.25">
      <c r="BJ965" s="122"/>
      <c r="BK965" s="122"/>
      <c r="BL965" s="122"/>
    </row>
    <row r="966" spans="62:64" x14ac:dyDescent="0.25">
      <c r="BJ966" s="122"/>
      <c r="BK966" s="122"/>
      <c r="BL966" s="122"/>
    </row>
    <row r="967" spans="62:64" x14ac:dyDescent="0.25">
      <c r="BJ967" s="122"/>
      <c r="BK967" s="122"/>
      <c r="BL967" s="122"/>
    </row>
    <row r="968" spans="62:64" x14ac:dyDescent="0.25">
      <c r="BJ968" s="122"/>
      <c r="BK968" s="122"/>
      <c r="BL968" s="122"/>
    </row>
    <row r="969" spans="62:64" x14ac:dyDescent="0.25">
      <c r="BJ969" s="122"/>
      <c r="BK969" s="122"/>
      <c r="BL969" s="122"/>
    </row>
    <row r="970" spans="62:64" x14ac:dyDescent="0.25">
      <c r="BJ970" s="122"/>
      <c r="BK970" s="122"/>
      <c r="BL970" s="122"/>
    </row>
    <row r="971" spans="62:64" x14ac:dyDescent="0.25">
      <c r="BJ971" s="122"/>
      <c r="BK971" s="122"/>
      <c r="BL971" s="122"/>
    </row>
    <row r="972" spans="62:64" x14ac:dyDescent="0.25">
      <c r="BJ972" s="122"/>
      <c r="BK972" s="122"/>
      <c r="BL972" s="122"/>
    </row>
    <row r="973" spans="62:64" x14ac:dyDescent="0.25">
      <c r="BJ973" s="122"/>
      <c r="BK973" s="122"/>
      <c r="BL973" s="122"/>
    </row>
    <row r="974" spans="62:64" x14ac:dyDescent="0.25">
      <c r="BJ974" s="122"/>
      <c r="BK974" s="122"/>
      <c r="BL974" s="122"/>
    </row>
    <row r="975" spans="62:64" x14ac:dyDescent="0.25">
      <c r="BJ975" s="122"/>
      <c r="BK975" s="122"/>
      <c r="BL975" s="122"/>
    </row>
    <row r="976" spans="62:64" x14ac:dyDescent="0.25">
      <c r="BJ976" s="122"/>
      <c r="BK976" s="122"/>
      <c r="BL976" s="122"/>
    </row>
    <row r="977" spans="62:64" x14ac:dyDescent="0.25">
      <c r="BJ977" s="122"/>
      <c r="BK977" s="122"/>
      <c r="BL977" s="122"/>
    </row>
    <row r="978" spans="62:64" x14ac:dyDescent="0.25">
      <c r="BJ978" s="122"/>
      <c r="BK978" s="122"/>
      <c r="BL978" s="122"/>
    </row>
    <row r="979" spans="62:64" x14ac:dyDescent="0.25">
      <c r="BJ979" s="122"/>
      <c r="BK979" s="122"/>
      <c r="BL979" s="122"/>
    </row>
    <row r="980" spans="62:64" x14ac:dyDescent="0.25">
      <c r="BJ980" s="122"/>
      <c r="BK980" s="122"/>
      <c r="BL980" s="122"/>
    </row>
    <row r="981" spans="62:64" x14ac:dyDescent="0.25">
      <c r="BJ981" s="122"/>
      <c r="BK981" s="122"/>
      <c r="BL981" s="122"/>
    </row>
    <row r="982" spans="62:64" x14ac:dyDescent="0.25">
      <c r="BJ982" s="122"/>
      <c r="BK982" s="122"/>
      <c r="BL982" s="122"/>
    </row>
    <row r="983" spans="62:64" x14ac:dyDescent="0.25">
      <c r="BJ983" s="122"/>
      <c r="BK983" s="122"/>
      <c r="BL983" s="122"/>
    </row>
    <row r="984" spans="62:64" x14ac:dyDescent="0.25">
      <c r="BJ984" s="122"/>
      <c r="BK984" s="122"/>
      <c r="BL984" s="122"/>
    </row>
    <row r="985" spans="62:64" x14ac:dyDescent="0.25">
      <c r="BJ985" s="122"/>
      <c r="BK985" s="122"/>
      <c r="BL985" s="122"/>
    </row>
    <row r="986" spans="62:64" x14ac:dyDescent="0.25">
      <c r="BJ986" s="122"/>
      <c r="BK986" s="122"/>
      <c r="BL986" s="122"/>
    </row>
    <row r="987" spans="62:64" x14ac:dyDescent="0.25">
      <c r="BJ987" s="122"/>
      <c r="BK987" s="122"/>
      <c r="BL987" s="122"/>
    </row>
    <row r="988" spans="62:64" x14ac:dyDescent="0.25">
      <c r="BJ988" s="122"/>
      <c r="BK988" s="122"/>
      <c r="BL988" s="122"/>
    </row>
    <row r="989" spans="62:64" x14ac:dyDescent="0.25">
      <c r="BJ989" s="122"/>
      <c r="BK989" s="122"/>
      <c r="BL989" s="122"/>
    </row>
    <row r="990" spans="62:64" x14ac:dyDescent="0.25">
      <c r="BJ990" s="122"/>
      <c r="BK990" s="122"/>
      <c r="BL990" s="122"/>
    </row>
    <row r="991" spans="62:64" x14ac:dyDescent="0.25">
      <c r="BJ991" s="122"/>
      <c r="BK991" s="122"/>
      <c r="BL991" s="122"/>
    </row>
    <row r="992" spans="62:64" x14ac:dyDescent="0.25">
      <c r="BJ992" s="122"/>
      <c r="BK992" s="122"/>
      <c r="BL992" s="122"/>
    </row>
    <row r="993" spans="62:64" x14ac:dyDescent="0.25">
      <c r="BJ993" s="122"/>
      <c r="BK993" s="122"/>
      <c r="BL993" s="122"/>
    </row>
    <row r="994" spans="62:64" x14ac:dyDescent="0.25">
      <c r="BJ994" s="122"/>
      <c r="BK994" s="122"/>
      <c r="BL994" s="122"/>
    </row>
    <row r="995" spans="62:64" x14ac:dyDescent="0.25">
      <c r="BJ995" s="122"/>
      <c r="BK995" s="122"/>
      <c r="BL995" s="122"/>
    </row>
    <row r="996" spans="62:64" x14ac:dyDescent="0.25">
      <c r="BJ996" s="122"/>
      <c r="BK996" s="122"/>
      <c r="BL996" s="122"/>
    </row>
    <row r="997" spans="62:64" x14ac:dyDescent="0.25">
      <c r="BJ997" s="122"/>
      <c r="BK997" s="122"/>
      <c r="BL997" s="122"/>
    </row>
    <row r="998" spans="62:64" x14ac:dyDescent="0.25">
      <c r="BJ998" s="122"/>
      <c r="BK998" s="122"/>
      <c r="BL998" s="122"/>
    </row>
    <row r="999" spans="62:64" x14ac:dyDescent="0.25">
      <c r="BJ999" s="122"/>
      <c r="BK999" s="122"/>
      <c r="BL999" s="122"/>
    </row>
    <row r="1000" spans="62:64" x14ac:dyDescent="0.25">
      <c r="BJ1000" s="122"/>
      <c r="BK1000" s="122"/>
      <c r="BL1000" s="122"/>
    </row>
    <row r="1001" spans="62:64" x14ac:dyDescent="0.25">
      <c r="BJ1001" s="122"/>
      <c r="BK1001" s="122"/>
      <c r="BL1001" s="122"/>
    </row>
    <row r="1002" spans="62:64" x14ac:dyDescent="0.25">
      <c r="BJ1002" s="122"/>
      <c r="BK1002" s="122"/>
      <c r="BL1002" s="122"/>
    </row>
    <row r="1003" spans="62:64" x14ac:dyDescent="0.25">
      <c r="BJ1003" s="122"/>
      <c r="BK1003" s="122"/>
      <c r="BL1003" s="122"/>
    </row>
    <row r="1004" spans="62:64" x14ac:dyDescent="0.25">
      <c r="BJ1004" s="122"/>
      <c r="BK1004" s="122"/>
      <c r="BL1004" s="122"/>
    </row>
    <row r="1005" spans="62:64" x14ac:dyDescent="0.25">
      <c r="BJ1005" s="122"/>
      <c r="BK1005" s="122"/>
      <c r="BL1005" s="122"/>
    </row>
    <row r="1006" spans="62:64" x14ac:dyDescent="0.25">
      <c r="BJ1006" s="122"/>
      <c r="BK1006" s="122"/>
      <c r="BL1006" s="122"/>
    </row>
    <row r="1007" spans="62:64" x14ac:dyDescent="0.25">
      <c r="BJ1007" s="122"/>
      <c r="BK1007" s="122"/>
      <c r="BL1007" s="122"/>
    </row>
    <row r="1008" spans="62:64" x14ac:dyDescent="0.25">
      <c r="BJ1008" s="122"/>
      <c r="BK1008" s="122"/>
      <c r="BL1008" s="122"/>
    </row>
    <row r="1009" spans="62:64" x14ac:dyDescent="0.25">
      <c r="BJ1009" s="122"/>
      <c r="BK1009" s="122"/>
      <c r="BL1009" s="122"/>
    </row>
    <row r="1010" spans="62:64" x14ac:dyDescent="0.25">
      <c r="BJ1010" s="122"/>
      <c r="BK1010" s="122"/>
      <c r="BL1010" s="122"/>
    </row>
    <row r="1011" spans="62:64" x14ac:dyDescent="0.25">
      <c r="BJ1011" s="122"/>
      <c r="BK1011" s="122"/>
      <c r="BL1011" s="122"/>
    </row>
    <row r="1012" spans="62:64" x14ac:dyDescent="0.25">
      <c r="BJ1012" s="122"/>
      <c r="BK1012" s="122"/>
      <c r="BL1012" s="122"/>
    </row>
    <row r="1013" spans="62:64" x14ac:dyDescent="0.25">
      <c r="BJ1013" s="122"/>
      <c r="BK1013" s="122"/>
      <c r="BL1013" s="122"/>
    </row>
    <row r="1014" spans="62:64" x14ac:dyDescent="0.25">
      <c r="BJ1014" s="122"/>
      <c r="BK1014" s="122"/>
      <c r="BL1014" s="122"/>
    </row>
    <row r="1015" spans="62:64" x14ac:dyDescent="0.25">
      <c r="BJ1015" s="122"/>
      <c r="BK1015" s="122"/>
      <c r="BL1015" s="122"/>
    </row>
    <row r="1016" spans="62:64" x14ac:dyDescent="0.25">
      <c r="BJ1016" s="122"/>
      <c r="BK1016" s="122"/>
      <c r="BL1016" s="122"/>
    </row>
    <row r="1017" spans="62:64" x14ac:dyDescent="0.25">
      <c r="BJ1017" s="122"/>
      <c r="BK1017" s="122"/>
      <c r="BL1017" s="122"/>
    </row>
    <row r="1018" spans="62:64" x14ac:dyDescent="0.25">
      <c r="BJ1018" s="122"/>
      <c r="BK1018" s="122"/>
      <c r="BL1018" s="122"/>
    </row>
    <row r="1019" spans="62:64" x14ac:dyDescent="0.25">
      <c r="BJ1019" s="122"/>
      <c r="BK1019" s="122"/>
      <c r="BL1019" s="122"/>
    </row>
    <row r="1020" spans="62:64" x14ac:dyDescent="0.25">
      <c r="BJ1020" s="122"/>
      <c r="BK1020" s="122"/>
      <c r="BL1020" s="122"/>
    </row>
    <row r="1021" spans="62:64" x14ac:dyDescent="0.25">
      <c r="BJ1021" s="122"/>
      <c r="BK1021" s="122"/>
      <c r="BL1021" s="122"/>
    </row>
    <row r="1022" spans="62:64" x14ac:dyDescent="0.25">
      <c r="BJ1022" s="122"/>
      <c r="BK1022" s="122"/>
      <c r="BL1022" s="122"/>
    </row>
    <row r="1023" spans="62:64" x14ac:dyDescent="0.25">
      <c r="BJ1023" s="122"/>
      <c r="BK1023" s="122"/>
      <c r="BL1023" s="122"/>
    </row>
    <row r="1024" spans="62:64" x14ac:dyDescent="0.25">
      <c r="BJ1024" s="122"/>
      <c r="BK1024" s="122"/>
      <c r="BL1024" s="122"/>
    </row>
    <row r="1025" spans="62:64" x14ac:dyDescent="0.25">
      <c r="BJ1025" s="122"/>
      <c r="BK1025" s="122"/>
      <c r="BL1025" s="122"/>
    </row>
    <row r="1026" spans="62:64" x14ac:dyDescent="0.25">
      <c r="BJ1026" s="122"/>
      <c r="BK1026" s="122"/>
      <c r="BL1026" s="122"/>
    </row>
    <row r="1027" spans="62:64" x14ac:dyDescent="0.25">
      <c r="BJ1027" s="122"/>
      <c r="BK1027" s="122"/>
      <c r="BL1027" s="122"/>
    </row>
    <row r="1028" spans="62:64" x14ac:dyDescent="0.25">
      <c r="BJ1028" s="122"/>
      <c r="BK1028" s="122"/>
      <c r="BL1028" s="122"/>
    </row>
    <row r="1029" spans="62:64" x14ac:dyDescent="0.25">
      <c r="BJ1029" s="122"/>
      <c r="BK1029" s="122"/>
      <c r="BL1029" s="122"/>
    </row>
    <row r="1030" spans="62:64" x14ac:dyDescent="0.25">
      <c r="BJ1030" s="122"/>
      <c r="BK1030" s="122"/>
      <c r="BL1030" s="122"/>
    </row>
    <row r="1031" spans="62:64" x14ac:dyDescent="0.25">
      <c r="BJ1031" s="122"/>
      <c r="BK1031" s="122"/>
      <c r="BL1031" s="122"/>
    </row>
    <row r="1032" spans="62:64" x14ac:dyDescent="0.25">
      <c r="BJ1032" s="122"/>
      <c r="BK1032" s="122"/>
      <c r="BL1032" s="122"/>
    </row>
    <row r="1033" spans="62:64" x14ac:dyDescent="0.25">
      <c r="BJ1033" s="122"/>
      <c r="BK1033" s="122"/>
      <c r="BL1033" s="122"/>
    </row>
    <row r="1034" spans="62:64" x14ac:dyDescent="0.25">
      <c r="BJ1034" s="122"/>
      <c r="BK1034" s="122"/>
      <c r="BL1034" s="122"/>
    </row>
    <row r="1035" spans="62:64" x14ac:dyDescent="0.25">
      <c r="BJ1035" s="122"/>
      <c r="BK1035" s="122"/>
      <c r="BL1035" s="122"/>
    </row>
    <row r="1036" spans="62:64" x14ac:dyDescent="0.25">
      <c r="BJ1036" s="122"/>
      <c r="BK1036" s="122"/>
      <c r="BL1036" s="122"/>
    </row>
    <row r="1037" spans="62:64" x14ac:dyDescent="0.25">
      <c r="BJ1037" s="122"/>
      <c r="BK1037" s="122"/>
      <c r="BL1037" s="122"/>
    </row>
    <row r="1038" spans="62:64" x14ac:dyDescent="0.25">
      <c r="BJ1038" s="122"/>
      <c r="BK1038" s="122"/>
      <c r="BL1038" s="122"/>
    </row>
    <row r="1039" spans="62:64" x14ac:dyDescent="0.25">
      <c r="BJ1039" s="122"/>
      <c r="BK1039" s="122"/>
      <c r="BL1039" s="122"/>
    </row>
    <row r="1040" spans="62:64" x14ac:dyDescent="0.25">
      <c r="BJ1040" s="122"/>
      <c r="BK1040" s="122"/>
      <c r="BL1040" s="122"/>
    </row>
    <row r="1041" spans="62:64" x14ac:dyDescent="0.25">
      <c r="BJ1041" s="122"/>
      <c r="BK1041" s="122"/>
      <c r="BL1041" s="122"/>
    </row>
    <row r="1042" spans="62:64" x14ac:dyDescent="0.25">
      <c r="BJ1042" s="122"/>
      <c r="BK1042" s="122"/>
      <c r="BL1042" s="122"/>
    </row>
    <row r="1043" spans="62:64" x14ac:dyDescent="0.25">
      <c r="BJ1043" s="122"/>
      <c r="BK1043" s="122"/>
      <c r="BL1043" s="122"/>
    </row>
    <row r="1044" spans="62:64" x14ac:dyDescent="0.25">
      <c r="BJ1044" s="122"/>
      <c r="BK1044" s="122"/>
      <c r="BL1044" s="122"/>
    </row>
    <row r="1045" spans="62:64" x14ac:dyDescent="0.25">
      <c r="BJ1045" s="122"/>
      <c r="BK1045" s="122"/>
      <c r="BL1045" s="122"/>
    </row>
    <row r="1046" spans="62:64" x14ac:dyDescent="0.25">
      <c r="BJ1046" s="122"/>
      <c r="BK1046" s="122"/>
      <c r="BL1046" s="122"/>
    </row>
    <row r="1047" spans="62:64" x14ac:dyDescent="0.25">
      <c r="BJ1047" s="122"/>
      <c r="BK1047" s="122"/>
      <c r="BL1047" s="122"/>
    </row>
    <row r="1048" spans="62:64" x14ac:dyDescent="0.25">
      <c r="BJ1048" s="122"/>
      <c r="BK1048" s="122"/>
      <c r="BL1048" s="122"/>
    </row>
    <row r="1049" spans="62:64" x14ac:dyDescent="0.25">
      <c r="BJ1049" s="122"/>
      <c r="BK1049" s="122"/>
      <c r="BL1049" s="122"/>
    </row>
    <row r="1050" spans="62:64" x14ac:dyDescent="0.25">
      <c r="BJ1050" s="122"/>
      <c r="BK1050" s="122"/>
      <c r="BL1050" s="122"/>
    </row>
    <row r="1051" spans="62:64" x14ac:dyDescent="0.25">
      <c r="BJ1051" s="122"/>
      <c r="BK1051" s="122"/>
      <c r="BL1051" s="122"/>
    </row>
    <row r="1052" spans="62:64" x14ac:dyDescent="0.25">
      <c r="BJ1052" s="122"/>
      <c r="BK1052" s="122"/>
      <c r="BL1052" s="122"/>
    </row>
    <row r="1053" spans="62:64" x14ac:dyDescent="0.25">
      <c r="BJ1053" s="122"/>
      <c r="BK1053" s="122"/>
      <c r="BL1053" s="122"/>
    </row>
    <row r="1054" spans="62:64" x14ac:dyDescent="0.25">
      <c r="BJ1054" s="122"/>
      <c r="BK1054" s="122"/>
      <c r="BL1054" s="122"/>
    </row>
    <row r="1055" spans="62:64" x14ac:dyDescent="0.25">
      <c r="BJ1055" s="122"/>
      <c r="BK1055" s="122"/>
      <c r="BL1055" s="122"/>
    </row>
    <row r="1056" spans="62:64" x14ac:dyDescent="0.25">
      <c r="BJ1056" s="122"/>
      <c r="BK1056" s="122"/>
      <c r="BL1056" s="122"/>
    </row>
    <row r="1057" spans="62:64" x14ac:dyDescent="0.25">
      <c r="BJ1057" s="122"/>
      <c r="BK1057" s="122"/>
      <c r="BL1057" s="122"/>
    </row>
    <row r="1058" spans="62:64" x14ac:dyDescent="0.25">
      <c r="BJ1058" s="122"/>
      <c r="BK1058" s="122"/>
      <c r="BL1058" s="122"/>
    </row>
    <row r="1059" spans="62:64" x14ac:dyDescent="0.25">
      <c r="BJ1059" s="122"/>
      <c r="BK1059" s="122"/>
      <c r="BL1059" s="122"/>
    </row>
    <row r="1060" spans="62:64" x14ac:dyDescent="0.25">
      <c r="BJ1060" s="122"/>
      <c r="BK1060" s="122"/>
      <c r="BL1060" s="122"/>
    </row>
    <row r="1061" spans="62:64" x14ac:dyDescent="0.25">
      <c r="BJ1061" s="122"/>
      <c r="BK1061" s="122"/>
      <c r="BL1061" s="122"/>
    </row>
    <row r="1062" spans="62:64" x14ac:dyDescent="0.25">
      <c r="BJ1062" s="122"/>
      <c r="BK1062" s="122"/>
      <c r="BL1062" s="122"/>
    </row>
    <row r="1063" spans="62:64" x14ac:dyDescent="0.25">
      <c r="BJ1063" s="122"/>
      <c r="BK1063" s="122"/>
      <c r="BL1063" s="122"/>
    </row>
    <row r="1064" spans="62:64" x14ac:dyDescent="0.25">
      <c r="BJ1064" s="122"/>
      <c r="BK1064" s="122"/>
      <c r="BL1064" s="122"/>
    </row>
    <row r="1065" spans="62:64" x14ac:dyDescent="0.25">
      <c r="BJ1065" s="122"/>
      <c r="BK1065" s="122"/>
      <c r="BL1065" s="122"/>
    </row>
    <row r="1066" spans="62:64" x14ac:dyDescent="0.25">
      <c r="BJ1066" s="122"/>
      <c r="BK1066" s="122"/>
      <c r="BL1066" s="122"/>
    </row>
    <row r="1067" spans="62:64" x14ac:dyDescent="0.25">
      <c r="BJ1067" s="122"/>
      <c r="BK1067" s="122"/>
      <c r="BL1067" s="122"/>
    </row>
    <row r="1068" spans="62:64" x14ac:dyDescent="0.25">
      <c r="BJ1068" s="122"/>
      <c r="BK1068" s="122"/>
      <c r="BL1068" s="122"/>
    </row>
    <row r="1069" spans="62:64" x14ac:dyDescent="0.25">
      <c r="BJ1069" s="122"/>
      <c r="BK1069" s="122"/>
      <c r="BL1069" s="122"/>
    </row>
    <row r="1070" spans="62:64" x14ac:dyDescent="0.25">
      <c r="BJ1070" s="122"/>
      <c r="BK1070" s="122"/>
      <c r="BL1070" s="122"/>
    </row>
    <row r="1071" spans="62:64" x14ac:dyDescent="0.25">
      <c r="BJ1071" s="122"/>
      <c r="BK1071" s="122"/>
      <c r="BL1071" s="122"/>
    </row>
    <row r="1072" spans="62:64" x14ac:dyDescent="0.25">
      <c r="BJ1072" s="122"/>
      <c r="BK1072" s="122"/>
      <c r="BL1072" s="122"/>
    </row>
    <row r="1073" spans="62:64" x14ac:dyDescent="0.25">
      <c r="BJ1073" s="122"/>
      <c r="BK1073" s="122"/>
      <c r="BL1073" s="122"/>
    </row>
    <row r="1074" spans="62:64" x14ac:dyDescent="0.25">
      <c r="BJ1074" s="122"/>
      <c r="BK1074" s="122"/>
      <c r="BL1074" s="122"/>
    </row>
    <row r="1075" spans="62:64" x14ac:dyDescent="0.25">
      <c r="BJ1075" s="122"/>
      <c r="BK1075" s="122"/>
      <c r="BL1075" s="122"/>
    </row>
    <row r="1076" spans="62:64" x14ac:dyDescent="0.25">
      <c r="BJ1076" s="122"/>
      <c r="BK1076" s="122"/>
      <c r="BL1076" s="122"/>
    </row>
    <row r="1077" spans="62:64" x14ac:dyDescent="0.25">
      <c r="BJ1077" s="122"/>
      <c r="BK1077" s="122"/>
      <c r="BL1077" s="122"/>
    </row>
    <row r="1078" spans="62:64" x14ac:dyDescent="0.25">
      <c r="BJ1078" s="122"/>
      <c r="BK1078" s="122"/>
      <c r="BL1078" s="122"/>
    </row>
    <row r="1079" spans="62:64" x14ac:dyDescent="0.25">
      <c r="BJ1079" s="122"/>
      <c r="BK1079" s="122"/>
      <c r="BL1079" s="122"/>
    </row>
    <row r="1080" spans="62:64" x14ac:dyDescent="0.25">
      <c r="BJ1080" s="122"/>
      <c r="BK1080" s="122"/>
      <c r="BL1080" s="122"/>
    </row>
    <row r="1081" spans="62:64" x14ac:dyDescent="0.25">
      <c r="BJ1081" s="122"/>
      <c r="BK1081" s="122"/>
      <c r="BL1081" s="122"/>
    </row>
    <row r="1082" spans="62:64" x14ac:dyDescent="0.25">
      <c r="BJ1082" s="122"/>
      <c r="BK1082" s="122"/>
      <c r="BL1082" s="122"/>
    </row>
    <row r="1083" spans="62:64" x14ac:dyDescent="0.25">
      <c r="BJ1083" s="122"/>
      <c r="BK1083" s="122"/>
      <c r="BL1083" s="122"/>
    </row>
    <row r="1084" spans="62:64" x14ac:dyDescent="0.25">
      <c r="BJ1084" s="122"/>
      <c r="BK1084" s="122"/>
      <c r="BL1084" s="122"/>
    </row>
    <row r="1085" spans="62:64" x14ac:dyDescent="0.25">
      <c r="BJ1085" s="122"/>
      <c r="BK1085" s="122"/>
      <c r="BL1085" s="122"/>
    </row>
    <row r="1086" spans="62:64" x14ac:dyDescent="0.25">
      <c r="BJ1086" s="122"/>
      <c r="BK1086" s="122"/>
      <c r="BL1086" s="122"/>
    </row>
    <row r="1087" spans="62:64" x14ac:dyDescent="0.25">
      <c r="BJ1087" s="122"/>
      <c r="BK1087" s="122"/>
      <c r="BL1087" s="122"/>
    </row>
    <row r="1088" spans="62:64" x14ac:dyDescent="0.25">
      <c r="BJ1088" s="122"/>
      <c r="BK1088" s="122"/>
      <c r="BL1088" s="122"/>
    </row>
    <row r="1089" spans="62:64" x14ac:dyDescent="0.25">
      <c r="BJ1089" s="122"/>
      <c r="BK1089" s="122"/>
      <c r="BL1089" s="122"/>
    </row>
    <row r="1090" spans="62:64" x14ac:dyDescent="0.25">
      <c r="BJ1090" s="122"/>
      <c r="BK1090" s="122"/>
      <c r="BL1090" s="122"/>
    </row>
    <row r="1091" spans="62:64" x14ac:dyDescent="0.25">
      <c r="BJ1091" s="122"/>
      <c r="BK1091" s="122"/>
      <c r="BL1091" s="122"/>
    </row>
    <row r="1092" spans="62:64" x14ac:dyDescent="0.25">
      <c r="BJ1092" s="122"/>
      <c r="BK1092" s="122"/>
      <c r="BL1092" s="122"/>
    </row>
    <row r="1093" spans="62:64" x14ac:dyDescent="0.25">
      <c r="BJ1093" s="122"/>
      <c r="BK1093" s="122"/>
      <c r="BL1093" s="122"/>
    </row>
    <row r="1094" spans="62:64" x14ac:dyDescent="0.25">
      <c r="BJ1094" s="122"/>
      <c r="BK1094" s="122"/>
      <c r="BL1094" s="122"/>
    </row>
    <row r="1095" spans="62:64" x14ac:dyDescent="0.25">
      <c r="BJ1095" s="122"/>
      <c r="BK1095" s="122"/>
      <c r="BL1095" s="122"/>
    </row>
    <row r="1096" spans="62:64" x14ac:dyDescent="0.25">
      <c r="BJ1096" s="122"/>
      <c r="BK1096" s="122"/>
      <c r="BL1096" s="122"/>
    </row>
    <row r="1097" spans="62:64" x14ac:dyDescent="0.25">
      <c r="BJ1097" s="122"/>
      <c r="BK1097" s="122"/>
      <c r="BL1097" s="122"/>
    </row>
    <row r="1098" spans="62:64" x14ac:dyDescent="0.25">
      <c r="BJ1098" s="122"/>
      <c r="BK1098" s="122"/>
      <c r="BL1098" s="122"/>
    </row>
    <row r="1099" spans="62:64" x14ac:dyDescent="0.25">
      <c r="BJ1099" s="122"/>
      <c r="BK1099" s="122"/>
      <c r="BL1099" s="122"/>
    </row>
    <row r="1100" spans="62:64" x14ac:dyDescent="0.25">
      <c r="BJ1100" s="122"/>
      <c r="BK1100" s="122"/>
      <c r="BL1100" s="122"/>
    </row>
    <row r="1101" spans="62:64" x14ac:dyDescent="0.25">
      <c r="BJ1101" s="122"/>
      <c r="BK1101" s="122"/>
      <c r="BL1101" s="122"/>
    </row>
    <row r="1102" spans="62:64" x14ac:dyDescent="0.25">
      <c r="BJ1102" s="122"/>
      <c r="BK1102" s="122"/>
      <c r="BL1102" s="122"/>
    </row>
    <row r="1103" spans="62:64" x14ac:dyDescent="0.25">
      <c r="BJ1103" s="122"/>
      <c r="BK1103" s="122"/>
      <c r="BL1103" s="122"/>
    </row>
    <row r="1104" spans="62:64" x14ac:dyDescent="0.25">
      <c r="BJ1104" s="122"/>
      <c r="BK1104" s="122"/>
      <c r="BL1104" s="122"/>
    </row>
    <row r="1105" spans="62:64" x14ac:dyDescent="0.25">
      <c r="BJ1105" s="122"/>
      <c r="BK1105" s="122"/>
      <c r="BL1105" s="122"/>
    </row>
    <row r="1106" spans="62:64" x14ac:dyDescent="0.25">
      <c r="BJ1106" s="122"/>
      <c r="BK1106" s="122"/>
      <c r="BL1106" s="122"/>
    </row>
    <row r="1107" spans="62:64" x14ac:dyDescent="0.25">
      <c r="BJ1107" s="122"/>
      <c r="BK1107" s="122"/>
      <c r="BL1107" s="122"/>
    </row>
    <row r="1108" spans="62:64" x14ac:dyDescent="0.25">
      <c r="BJ1108" s="122"/>
      <c r="BK1108" s="122"/>
      <c r="BL1108" s="122"/>
    </row>
    <row r="1109" spans="62:64" x14ac:dyDescent="0.25">
      <c r="BJ1109" s="122"/>
      <c r="BK1109" s="122"/>
      <c r="BL1109" s="122"/>
    </row>
    <row r="1110" spans="62:64" x14ac:dyDescent="0.25">
      <c r="BJ1110" s="122"/>
      <c r="BK1110" s="122"/>
      <c r="BL1110" s="122"/>
    </row>
    <row r="1111" spans="62:64" x14ac:dyDescent="0.25">
      <c r="BJ1111" s="122"/>
      <c r="BK1111" s="122"/>
      <c r="BL1111" s="122"/>
    </row>
    <row r="1112" spans="62:64" x14ac:dyDescent="0.25">
      <c r="BJ1112" s="122"/>
      <c r="BK1112" s="122"/>
      <c r="BL1112" s="122"/>
    </row>
    <row r="1113" spans="62:64" x14ac:dyDescent="0.25">
      <c r="BJ1113" s="122"/>
      <c r="BK1113" s="122"/>
      <c r="BL1113" s="122"/>
    </row>
    <row r="1114" spans="62:64" x14ac:dyDescent="0.25">
      <c r="BJ1114" s="122"/>
      <c r="BK1114" s="122"/>
      <c r="BL1114" s="122"/>
    </row>
    <row r="1115" spans="62:64" x14ac:dyDescent="0.25">
      <c r="BJ1115" s="122"/>
      <c r="BK1115" s="122"/>
      <c r="BL1115" s="122"/>
    </row>
    <row r="1116" spans="62:64" x14ac:dyDescent="0.25">
      <c r="BJ1116" s="122"/>
      <c r="BK1116" s="122"/>
      <c r="BL1116" s="122"/>
    </row>
    <row r="1117" spans="62:64" x14ac:dyDescent="0.25">
      <c r="BJ1117" s="122"/>
      <c r="BK1117" s="122"/>
      <c r="BL1117" s="122"/>
    </row>
    <row r="1118" spans="62:64" x14ac:dyDescent="0.25">
      <c r="BJ1118" s="122"/>
      <c r="BK1118" s="122"/>
      <c r="BL1118" s="122"/>
    </row>
    <row r="1119" spans="62:64" x14ac:dyDescent="0.25">
      <c r="BJ1119" s="122"/>
      <c r="BK1119" s="122"/>
      <c r="BL1119" s="122"/>
    </row>
    <row r="1120" spans="62:64" x14ac:dyDescent="0.25">
      <c r="BJ1120" s="122"/>
      <c r="BK1120" s="122"/>
      <c r="BL1120" s="122"/>
    </row>
    <row r="1121" spans="62:64" x14ac:dyDescent="0.25">
      <c r="BJ1121" s="122"/>
      <c r="BK1121" s="122"/>
      <c r="BL1121" s="122"/>
    </row>
    <row r="1122" spans="62:64" x14ac:dyDescent="0.25">
      <c r="BJ1122" s="122"/>
      <c r="BK1122" s="122"/>
      <c r="BL1122" s="122"/>
    </row>
    <row r="1123" spans="62:64" x14ac:dyDescent="0.25">
      <c r="BJ1123" s="122"/>
      <c r="BK1123" s="122"/>
      <c r="BL1123" s="122"/>
    </row>
    <row r="1124" spans="62:64" x14ac:dyDescent="0.25">
      <c r="BJ1124" s="122"/>
      <c r="BK1124" s="122"/>
      <c r="BL1124" s="122"/>
    </row>
    <row r="1125" spans="62:64" x14ac:dyDescent="0.25">
      <c r="BJ1125" s="122"/>
      <c r="BK1125" s="122"/>
      <c r="BL1125" s="122"/>
    </row>
    <row r="1126" spans="62:64" x14ac:dyDescent="0.25">
      <c r="BJ1126" s="122"/>
      <c r="BK1126" s="122"/>
      <c r="BL1126" s="122"/>
    </row>
    <row r="1127" spans="62:64" x14ac:dyDescent="0.25">
      <c r="BJ1127" s="122"/>
      <c r="BK1127" s="122"/>
      <c r="BL1127" s="122"/>
    </row>
    <row r="1128" spans="62:64" x14ac:dyDescent="0.25">
      <c r="BJ1128" s="122"/>
      <c r="BK1128" s="122"/>
      <c r="BL1128" s="122"/>
    </row>
    <row r="1129" spans="62:64" x14ac:dyDescent="0.25">
      <c r="BJ1129" s="122"/>
      <c r="BK1129" s="122"/>
      <c r="BL1129" s="122"/>
    </row>
    <row r="1130" spans="62:64" x14ac:dyDescent="0.25">
      <c r="BJ1130" s="122"/>
      <c r="BK1130" s="122"/>
      <c r="BL1130" s="122"/>
    </row>
    <row r="1131" spans="62:64" x14ac:dyDescent="0.25">
      <c r="BJ1131" s="122"/>
      <c r="BK1131" s="122"/>
      <c r="BL1131" s="122"/>
    </row>
    <row r="1132" spans="62:64" x14ac:dyDescent="0.25">
      <c r="BJ1132" s="122"/>
      <c r="BK1132" s="122"/>
      <c r="BL1132" s="122"/>
    </row>
    <row r="1133" spans="62:64" x14ac:dyDescent="0.25">
      <c r="BJ1133" s="122"/>
      <c r="BK1133" s="122"/>
      <c r="BL1133" s="122"/>
    </row>
    <row r="1134" spans="62:64" x14ac:dyDescent="0.25">
      <c r="BJ1134" s="122"/>
      <c r="BK1134" s="122"/>
      <c r="BL1134" s="122"/>
    </row>
    <row r="1135" spans="62:64" x14ac:dyDescent="0.25">
      <c r="BJ1135" s="122"/>
      <c r="BK1135" s="122"/>
      <c r="BL1135" s="122"/>
    </row>
    <row r="1136" spans="62:64" x14ac:dyDescent="0.25">
      <c r="BJ1136" s="122"/>
      <c r="BK1136" s="122"/>
      <c r="BL1136" s="122"/>
    </row>
    <row r="1137" spans="62:64" x14ac:dyDescent="0.25">
      <c r="BJ1137" s="122"/>
      <c r="BK1137" s="122"/>
      <c r="BL1137" s="122"/>
    </row>
    <row r="1138" spans="62:64" x14ac:dyDescent="0.25">
      <c r="BJ1138" s="122"/>
      <c r="BK1138" s="122"/>
      <c r="BL1138" s="122"/>
    </row>
    <row r="1139" spans="62:64" x14ac:dyDescent="0.25">
      <c r="BJ1139" s="122"/>
      <c r="BK1139" s="122"/>
      <c r="BL1139" s="122"/>
    </row>
    <row r="1140" spans="62:64" x14ac:dyDescent="0.25">
      <c r="BJ1140" s="122"/>
      <c r="BK1140" s="122"/>
      <c r="BL1140" s="122"/>
    </row>
    <row r="1141" spans="62:64" x14ac:dyDescent="0.25">
      <c r="BJ1141" s="122"/>
      <c r="BK1141" s="122"/>
      <c r="BL1141" s="122"/>
    </row>
    <row r="1142" spans="62:64" x14ac:dyDescent="0.25">
      <c r="BJ1142" s="122"/>
      <c r="BK1142" s="122"/>
      <c r="BL1142" s="122"/>
    </row>
    <row r="1143" spans="62:64" x14ac:dyDescent="0.25">
      <c r="BJ1143" s="122"/>
      <c r="BK1143" s="122"/>
      <c r="BL1143" s="122"/>
    </row>
    <row r="1144" spans="62:64" x14ac:dyDescent="0.25">
      <c r="BJ1144" s="122"/>
      <c r="BK1144" s="122"/>
      <c r="BL1144" s="122"/>
    </row>
    <row r="1145" spans="62:64" x14ac:dyDescent="0.25">
      <c r="BJ1145" s="122"/>
      <c r="BK1145" s="122"/>
      <c r="BL1145" s="122"/>
    </row>
    <row r="1146" spans="62:64" x14ac:dyDescent="0.25">
      <c r="BJ1146" s="122"/>
      <c r="BK1146" s="122"/>
      <c r="BL1146" s="122"/>
    </row>
    <row r="1147" spans="62:64" x14ac:dyDescent="0.25">
      <c r="BJ1147" s="122"/>
      <c r="BK1147" s="122"/>
      <c r="BL1147" s="122"/>
    </row>
    <row r="1148" spans="62:64" x14ac:dyDescent="0.25">
      <c r="BJ1148" s="122"/>
      <c r="BK1148" s="122"/>
      <c r="BL1148" s="122"/>
    </row>
    <row r="1149" spans="62:64" x14ac:dyDescent="0.25">
      <c r="BJ1149" s="122"/>
      <c r="BK1149" s="122"/>
      <c r="BL1149" s="122"/>
    </row>
    <row r="1150" spans="62:64" x14ac:dyDescent="0.25">
      <c r="BJ1150" s="122"/>
      <c r="BK1150" s="122"/>
      <c r="BL1150" s="122"/>
    </row>
    <row r="1151" spans="62:64" x14ac:dyDescent="0.25">
      <c r="BJ1151" s="122"/>
      <c r="BK1151" s="122"/>
      <c r="BL1151" s="122"/>
    </row>
    <row r="1152" spans="62:64" x14ac:dyDescent="0.25">
      <c r="BJ1152" s="122"/>
      <c r="BK1152" s="122"/>
      <c r="BL1152" s="122"/>
    </row>
    <row r="1153" spans="62:64" x14ac:dyDescent="0.25">
      <c r="BJ1153" s="122"/>
      <c r="BK1153" s="122"/>
      <c r="BL1153" s="122"/>
    </row>
    <row r="1154" spans="62:64" x14ac:dyDescent="0.25">
      <c r="BJ1154" s="122"/>
      <c r="BK1154" s="122"/>
      <c r="BL1154" s="122"/>
    </row>
    <row r="1155" spans="62:64" x14ac:dyDescent="0.25">
      <c r="BJ1155" s="122"/>
      <c r="BK1155" s="122"/>
      <c r="BL1155" s="122"/>
    </row>
    <row r="1156" spans="62:64" x14ac:dyDescent="0.25">
      <c r="BJ1156" s="122"/>
      <c r="BK1156" s="122"/>
      <c r="BL1156" s="122"/>
    </row>
    <row r="1157" spans="62:64" x14ac:dyDescent="0.25">
      <c r="BJ1157" s="122"/>
      <c r="BK1157" s="122"/>
      <c r="BL1157" s="122"/>
    </row>
    <row r="1158" spans="62:64" x14ac:dyDescent="0.25">
      <c r="BJ1158" s="122"/>
      <c r="BK1158" s="122"/>
      <c r="BL1158" s="122"/>
    </row>
    <row r="1159" spans="62:64" x14ac:dyDescent="0.25">
      <c r="BJ1159" s="122"/>
      <c r="BK1159" s="122"/>
      <c r="BL1159" s="122"/>
    </row>
    <row r="1160" spans="62:64" x14ac:dyDescent="0.25">
      <c r="BJ1160" s="122"/>
      <c r="BK1160" s="122"/>
      <c r="BL1160" s="122"/>
    </row>
    <row r="1161" spans="62:64" x14ac:dyDescent="0.25">
      <c r="BJ1161" s="122"/>
      <c r="BK1161" s="122"/>
      <c r="BL1161" s="122"/>
    </row>
    <row r="1162" spans="62:64" x14ac:dyDescent="0.25">
      <c r="BJ1162" s="122"/>
      <c r="BK1162" s="122"/>
      <c r="BL1162" s="122"/>
    </row>
    <row r="1163" spans="62:64" x14ac:dyDescent="0.25">
      <c r="BJ1163" s="122"/>
      <c r="BK1163" s="122"/>
      <c r="BL1163" s="122"/>
    </row>
    <row r="1164" spans="62:64" x14ac:dyDescent="0.25">
      <c r="BJ1164" s="122"/>
      <c r="BK1164" s="122"/>
      <c r="BL1164" s="122"/>
    </row>
    <row r="1165" spans="62:64" x14ac:dyDescent="0.25">
      <c r="BJ1165" s="122"/>
      <c r="BK1165" s="122"/>
      <c r="BL1165" s="122"/>
    </row>
    <row r="1166" spans="62:64" x14ac:dyDescent="0.25">
      <c r="BJ1166" s="122"/>
      <c r="BK1166" s="122"/>
      <c r="BL1166" s="122"/>
    </row>
    <row r="1167" spans="62:64" x14ac:dyDescent="0.25">
      <c r="BJ1167" s="122"/>
      <c r="BK1167" s="122"/>
      <c r="BL1167" s="122"/>
    </row>
    <row r="1168" spans="62:64" x14ac:dyDescent="0.25">
      <c r="BJ1168" s="122"/>
      <c r="BK1168" s="122"/>
      <c r="BL1168" s="122"/>
    </row>
    <row r="1169" spans="62:64" x14ac:dyDescent="0.25">
      <c r="BJ1169" s="122"/>
      <c r="BK1169" s="122"/>
      <c r="BL1169" s="122"/>
    </row>
    <row r="1170" spans="62:64" x14ac:dyDescent="0.25">
      <c r="BJ1170" s="122"/>
      <c r="BK1170" s="122"/>
      <c r="BL1170" s="122"/>
    </row>
    <row r="1171" spans="62:64" x14ac:dyDescent="0.25">
      <c r="BJ1171" s="122"/>
      <c r="BK1171" s="122"/>
      <c r="BL1171" s="122"/>
    </row>
    <row r="1172" spans="62:64" x14ac:dyDescent="0.25">
      <c r="BJ1172" s="122"/>
      <c r="BK1172" s="122"/>
      <c r="BL1172" s="122"/>
    </row>
    <row r="1173" spans="62:64" x14ac:dyDescent="0.25">
      <c r="BJ1173" s="122"/>
      <c r="BK1173" s="122"/>
      <c r="BL1173" s="122"/>
    </row>
    <row r="1174" spans="62:64" x14ac:dyDescent="0.25">
      <c r="BJ1174" s="122"/>
      <c r="BK1174" s="122"/>
      <c r="BL1174" s="122"/>
    </row>
    <row r="1175" spans="62:64" x14ac:dyDescent="0.25">
      <c r="BJ1175" s="122"/>
      <c r="BK1175" s="122"/>
      <c r="BL1175" s="122"/>
    </row>
    <row r="1176" spans="62:64" x14ac:dyDescent="0.25">
      <c r="BJ1176" s="122"/>
      <c r="BK1176" s="122"/>
      <c r="BL1176" s="122"/>
    </row>
    <row r="1177" spans="62:64" x14ac:dyDescent="0.25">
      <c r="BJ1177" s="122"/>
      <c r="BK1177" s="122"/>
      <c r="BL1177" s="122"/>
    </row>
    <row r="1178" spans="62:64" x14ac:dyDescent="0.25">
      <c r="BJ1178" s="122"/>
      <c r="BK1178" s="122"/>
      <c r="BL1178" s="122"/>
    </row>
    <row r="1179" spans="62:64" x14ac:dyDescent="0.25">
      <c r="BJ1179" s="122"/>
      <c r="BK1179" s="122"/>
      <c r="BL1179" s="122"/>
    </row>
    <row r="1180" spans="62:64" x14ac:dyDescent="0.25">
      <c r="BJ1180" s="122"/>
      <c r="BK1180" s="122"/>
      <c r="BL1180" s="122"/>
    </row>
    <row r="1181" spans="62:64" x14ac:dyDescent="0.25">
      <c r="BJ1181" s="122"/>
      <c r="BK1181" s="122"/>
      <c r="BL1181" s="122"/>
    </row>
    <row r="1182" spans="62:64" x14ac:dyDescent="0.25">
      <c r="BJ1182" s="122"/>
      <c r="BK1182" s="122"/>
      <c r="BL1182" s="122"/>
    </row>
    <row r="1183" spans="62:64" x14ac:dyDescent="0.25">
      <c r="BJ1183" s="122"/>
      <c r="BK1183" s="122"/>
      <c r="BL1183" s="122"/>
    </row>
    <row r="1184" spans="62:64" x14ac:dyDescent="0.25">
      <c r="BJ1184" s="122"/>
      <c r="BK1184" s="122"/>
      <c r="BL1184" s="122"/>
    </row>
    <row r="1185" spans="62:64" x14ac:dyDescent="0.25">
      <c r="BJ1185" s="122"/>
      <c r="BK1185" s="122"/>
      <c r="BL1185" s="122"/>
    </row>
    <row r="1186" spans="62:64" x14ac:dyDescent="0.25">
      <c r="BJ1186" s="122"/>
      <c r="BK1186" s="122"/>
      <c r="BL1186" s="122"/>
    </row>
    <row r="1187" spans="62:64" x14ac:dyDescent="0.25">
      <c r="BJ1187" s="122"/>
      <c r="BK1187" s="122"/>
      <c r="BL1187" s="122"/>
    </row>
    <row r="1188" spans="62:64" x14ac:dyDescent="0.25">
      <c r="BJ1188" s="122"/>
      <c r="BK1188" s="122"/>
      <c r="BL1188" s="122"/>
    </row>
    <row r="1189" spans="62:64" x14ac:dyDescent="0.25">
      <c r="BJ1189" s="122"/>
      <c r="BK1189" s="122"/>
      <c r="BL1189" s="122"/>
    </row>
    <row r="1190" spans="62:64" x14ac:dyDescent="0.25">
      <c r="BJ1190" s="122"/>
      <c r="BK1190" s="122"/>
      <c r="BL1190" s="122"/>
    </row>
    <row r="1191" spans="62:64" x14ac:dyDescent="0.25">
      <c r="BJ1191" s="122"/>
      <c r="BK1191" s="122"/>
      <c r="BL1191" s="122"/>
    </row>
    <row r="1192" spans="62:64" x14ac:dyDescent="0.25">
      <c r="BJ1192" s="122"/>
      <c r="BK1192" s="122"/>
      <c r="BL1192" s="122"/>
    </row>
    <row r="1193" spans="62:64" x14ac:dyDescent="0.25">
      <c r="BJ1193" s="122"/>
      <c r="BK1193" s="122"/>
      <c r="BL1193" s="122"/>
    </row>
    <row r="1194" spans="62:64" x14ac:dyDescent="0.25">
      <c r="BJ1194" s="122"/>
      <c r="BK1194" s="122"/>
      <c r="BL1194" s="122"/>
    </row>
    <row r="1195" spans="62:64" x14ac:dyDescent="0.25">
      <c r="BJ1195" s="122"/>
      <c r="BK1195" s="122"/>
      <c r="BL1195" s="122"/>
    </row>
    <row r="1196" spans="62:64" x14ac:dyDescent="0.25">
      <c r="BJ1196" s="122"/>
      <c r="BK1196" s="122"/>
      <c r="BL1196" s="122"/>
    </row>
    <row r="1197" spans="62:64" x14ac:dyDescent="0.25">
      <c r="BJ1197" s="122"/>
      <c r="BK1197" s="122"/>
      <c r="BL1197" s="122"/>
    </row>
    <row r="1198" spans="62:64" x14ac:dyDescent="0.25">
      <c r="BJ1198" s="122"/>
      <c r="BK1198" s="122"/>
      <c r="BL1198" s="122"/>
    </row>
    <row r="1199" spans="62:64" x14ac:dyDescent="0.25">
      <c r="BJ1199" s="122"/>
      <c r="BK1199" s="122"/>
      <c r="BL1199" s="122"/>
    </row>
    <row r="1200" spans="62:64" x14ac:dyDescent="0.25">
      <c r="BJ1200" s="122"/>
      <c r="BK1200" s="122"/>
      <c r="BL1200" s="122"/>
    </row>
    <row r="1201" spans="62:64" x14ac:dyDescent="0.25">
      <c r="BJ1201" s="122"/>
      <c r="BK1201" s="122"/>
      <c r="BL1201" s="122"/>
    </row>
    <row r="1202" spans="62:64" x14ac:dyDescent="0.25">
      <c r="BJ1202" s="122"/>
      <c r="BK1202" s="122"/>
      <c r="BL1202" s="122"/>
    </row>
    <row r="1203" spans="62:64" x14ac:dyDescent="0.25">
      <c r="BJ1203" s="122"/>
      <c r="BK1203" s="122"/>
      <c r="BL1203" s="122"/>
    </row>
    <row r="1204" spans="62:64" x14ac:dyDescent="0.25">
      <c r="BJ1204" s="122"/>
      <c r="BK1204" s="122"/>
      <c r="BL1204" s="122"/>
    </row>
    <row r="1205" spans="62:64" x14ac:dyDescent="0.25">
      <c r="BJ1205" s="122"/>
      <c r="BK1205" s="122"/>
      <c r="BL1205" s="122"/>
    </row>
    <row r="1206" spans="62:64" x14ac:dyDescent="0.25">
      <c r="BJ1206" s="122"/>
      <c r="BK1206" s="122"/>
      <c r="BL1206" s="122"/>
    </row>
    <row r="1207" spans="62:64" x14ac:dyDescent="0.25">
      <c r="BJ1207" s="122"/>
      <c r="BK1207" s="122"/>
      <c r="BL1207" s="122"/>
    </row>
    <row r="1208" spans="62:64" x14ac:dyDescent="0.25">
      <c r="BJ1208" s="122"/>
      <c r="BK1208" s="122"/>
      <c r="BL1208" s="122"/>
    </row>
    <row r="1209" spans="62:64" x14ac:dyDescent="0.25">
      <c r="BJ1209" s="122"/>
      <c r="BK1209" s="122"/>
      <c r="BL1209" s="122"/>
    </row>
    <row r="1210" spans="62:64" x14ac:dyDescent="0.25">
      <c r="BJ1210" s="122"/>
      <c r="BK1210" s="122"/>
      <c r="BL1210" s="122"/>
    </row>
    <row r="1211" spans="62:64" x14ac:dyDescent="0.25">
      <c r="BJ1211" s="122"/>
      <c r="BK1211" s="122"/>
      <c r="BL1211" s="122"/>
    </row>
    <row r="1212" spans="62:64" x14ac:dyDescent="0.25">
      <c r="BJ1212" s="122"/>
      <c r="BK1212" s="122"/>
      <c r="BL1212" s="122"/>
    </row>
    <row r="1213" spans="62:64" x14ac:dyDescent="0.25">
      <c r="BJ1213" s="122"/>
      <c r="BK1213" s="122"/>
      <c r="BL1213" s="122"/>
    </row>
    <row r="1214" spans="62:64" x14ac:dyDescent="0.25">
      <c r="BJ1214" s="122"/>
      <c r="BK1214" s="122"/>
      <c r="BL1214" s="122"/>
    </row>
    <row r="1215" spans="62:64" x14ac:dyDescent="0.25">
      <c r="BJ1215" s="122"/>
      <c r="BK1215" s="122"/>
      <c r="BL1215" s="122"/>
    </row>
    <row r="1216" spans="62:64" x14ac:dyDescent="0.25">
      <c r="BJ1216" s="122"/>
      <c r="BK1216" s="122"/>
      <c r="BL1216" s="122"/>
    </row>
    <row r="1217" spans="62:64" x14ac:dyDescent="0.25">
      <c r="BJ1217" s="122"/>
      <c r="BK1217" s="122"/>
      <c r="BL1217" s="122"/>
    </row>
    <row r="1218" spans="62:64" x14ac:dyDescent="0.25">
      <c r="BJ1218" s="122"/>
      <c r="BK1218" s="122"/>
      <c r="BL1218" s="122"/>
    </row>
    <row r="1219" spans="62:64" x14ac:dyDescent="0.25">
      <c r="BJ1219" s="122"/>
      <c r="BK1219" s="122"/>
      <c r="BL1219" s="122"/>
    </row>
    <row r="1220" spans="62:64" x14ac:dyDescent="0.25">
      <c r="BJ1220" s="122"/>
      <c r="BK1220" s="122"/>
      <c r="BL1220" s="122"/>
    </row>
    <row r="1221" spans="62:64" x14ac:dyDescent="0.25">
      <c r="BJ1221" s="122"/>
      <c r="BK1221" s="122"/>
      <c r="BL1221" s="122"/>
    </row>
    <row r="1222" spans="62:64" x14ac:dyDescent="0.25">
      <c r="BJ1222" s="122"/>
      <c r="BK1222" s="122"/>
      <c r="BL1222" s="122"/>
    </row>
    <row r="1223" spans="62:64" x14ac:dyDescent="0.25">
      <c r="BJ1223" s="122"/>
      <c r="BK1223" s="122"/>
      <c r="BL1223" s="122"/>
    </row>
    <row r="1224" spans="62:64" x14ac:dyDescent="0.25">
      <c r="BJ1224" s="122"/>
      <c r="BK1224" s="122"/>
      <c r="BL1224" s="122"/>
    </row>
    <row r="1225" spans="62:64" x14ac:dyDescent="0.25">
      <c r="BJ1225" s="122"/>
      <c r="BK1225" s="122"/>
      <c r="BL1225" s="122"/>
    </row>
    <row r="1226" spans="62:64" x14ac:dyDescent="0.25">
      <c r="BJ1226" s="122"/>
      <c r="BK1226" s="122"/>
      <c r="BL1226" s="122"/>
    </row>
    <row r="1227" spans="62:64" x14ac:dyDescent="0.25">
      <c r="BJ1227" s="122"/>
      <c r="BK1227" s="122"/>
      <c r="BL1227" s="122"/>
    </row>
    <row r="1229" spans="62:64" x14ac:dyDescent="0.25">
      <c r="BJ1229" s="122"/>
      <c r="BK1229" s="122"/>
      <c r="BL1229" s="122"/>
    </row>
    <row r="1230" spans="62:64" x14ac:dyDescent="0.25">
      <c r="BJ1230" s="122"/>
      <c r="BK1230" s="122"/>
      <c r="BL1230" s="122"/>
    </row>
    <row r="1231" spans="62:64" x14ac:dyDescent="0.25">
      <c r="BJ1231" s="122"/>
      <c r="BK1231" s="122"/>
      <c r="BL1231" s="122"/>
    </row>
    <row r="1232" spans="62:64" x14ac:dyDescent="0.25">
      <c r="BJ1232" s="122"/>
      <c r="BK1232" s="122"/>
      <c r="BL1232" s="122"/>
    </row>
    <row r="1233" spans="62:64" x14ac:dyDescent="0.25">
      <c r="BJ1233" s="122"/>
      <c r="BK1233" s="122"/>
      <c r="BL1233" s="122"/>
    </row>
    <row r="1234" spans="62:64" x14ac:dyDescent="0.25">
      <c r="BJ1234" s="122"/>
      <c r="BK1234" s="122"/>
      <c r="BL1234" s="122"/>
    </row>
    <row r="1235" spans="62:64" x14ac:dyDescent="0.25">
      <c r="BJ1235" s="122"/>
      <c r="BK1235" s="122"/>
      <c r="BL1235" s="122"/>
    </row>
    <row r="1236" spans="62:64" x14ac:dyDescent="0.25">
      <c r="BJ1236" s="122"/>
      <c r="BK1236" s="122"/>
      <c r="BL1236" s="122"/>
    </row>
    <row r="1237" spans="62:64" x14ac:dyDescent="0.25">
      <c r="BJ1237" s="122"/>
      <c r="BK1237" s="122"/>
      <c r="BL1237" s="122"/>
    </row>
    <row r="1238" spans="62:64" x14ac:dyDescent="0.25">
      <c r="BJ1238" s="122"/>
      <c r="BK1238" s="122"/>
      <c r="BL1238" s="122"/>
    </row>
    <row r="1239" spans="62:64" x14ac:dyDescent="0.25">
      <c r="BJ1239" s="122"/>
      <c r="BK1239" s="122"/>
      <c r="BL1239" s="122"/>
    </row>
    <row r="1240" spans="62:64" x14ac:dyDescent="0.25">
      <c r="BJ1240" s="122"/>
      <c r="BK1240" s="122"/>
      <c r="BL1240" s="122"/>
    </row>
    <row r="1241" spans="62:64" x14ac:dyDescent="0.25">
      <c r="BJ1241" s="122"/>
      <c r="BK1241" s="122"/>
      <c r="BL1241" s="122"/>
    </row>
    <row r="1242" spans="62:64" x14ac:dyDescent="0.25">
      <c r="BJ1242" s="122"/>
      <c r="BK1242" s="122"/>
      <c r="BL1242" s="122"/>
    </row>
    <row r="1243" spans="62:64" x14ac:dyDescent="0.25">
      <c r="BJ1243" s="122"/>
      <c r="BK1243" s="122"/>
      <c r="BL1243" s="122"/>
    </row>
    <row r="1244" spans="62:64" x14ac:dyDescent="0.25">
      <c r="BJ1244" s="122"/>
      <c r="BK1244" s="122"/>
      <c r="BL1244" s="122"/>
    </row>
    <row r="1245" spans="62:64" x14ac:dyDescent="0.25">
      <c r="BJ1245" s="122"/>
      <c r="BK1245" s="122"/>
      <c r="BL1245" s="122"/>
    </row>
    <row r="1246" spans="62:64" x14ac:dyDescent="0.25">
      <c r="BJ1246" s="122"/>
      <c r="BK1246" s="122"/>
      <c r="BL1246" s="122"/>
    </row>
    <row r="1247" spans="62:64" x14ac:dyDescent="0.25">
      <c r="BJ1247" s="122"/>
      <c r="BK1247" s="122"/>
      <c r="BL1247" s="122"/>
    </row>
    <row r="1248" spans="62:64" x14ac:dyDescent="0.25">
      <c r="BJ1248" s="122"/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  <c r="BK1250" s="122"/>
      <c r="BL1250" s="122"/>
    </row>
    <row r="1251" spans="62:64" x14ac:dyDescent="0.25">
      <c r="BJ1251" s="122"/>
      <c r="BK1251" s="122"/>
      <c r="BL1251" s="122"/>
    </row>
    <row r="1252" spans="62:64" x14ac:dyDescent="0.25">
      <c r="BJ1252" s="122"/>
      <c r="BK1252" s="122"/>
      <c r="BL1252" s="122"/>
    </row>
    <row r="1253" spans="62:64" x14ac:dyDescent="0.25">
      <c r="BJ1253" s="122"/>
      <c r="BK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  <c r="BL1257" s="122"/>
    </row>
    <row r="1258" spans="62:64" x14ac:dyDescent="0.25">
      <c r="BJ1258" s="122"/>
      <c r="BK1258" s="122"/>
      <c r="BL1258" s="122"/>
    </row>
    <row r="1259" spans="62:64" x14ac:dyDescent="0.25">
      <c r="BJ1259" s="122"/>
      <c r="BK1259" s="122"/>
      <c r="BL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  <c r="BL1261" s="122"/>
    </row>
    <row r="1262" spans="62:64" x14ac:dyDescent="0.25">
      <c r="BJ1262" s="122"/>
      <c r="BK1262" s="122"/>
      <c r="BL1262" s="122"/>
    </row>
    <row r="1263" spans="62:64" x14ac:dyDescent="0.25">
      <c r="BJ1263" s="122"/>
      <c r="BK1263" s="122"/>
      <c r="BL1263" s="122"/>
    </row>
    <row r="1264" spans="62:64" x14ac:dyDescent="0.25">
      <c r="BJ1264" s="122"/>
      <c r="BK1264" s="122"/>
      <c r="BL1264" s="122"/>
    </row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pans="62:64" x14ac:dyDescent="0.25">
      <c r="BJ1281" s="122"/>
      <c r="BK1281" s="122"/>
      <c r="BL1281" s="122"/>
    </row>
    <row r="1282" spans="62:64" x14ac:dyDescent="0.25">
      <c r="BJ1282" s="122"/>
      <c r="BK1282" s="122"/>
      <c r="BL1282" s="122"/>
    </row>
    <row r="1283" spans="62:64" x14ac:dyDescent="0.25">
      <c r="BJ1283" s="122"/>
      <c r="BK1283" s="122"/>
      <c r="BL1283" s="122"/>
    </row>
    <row r="1284" spans="62:64" x14ac:dyDescent="0.25">
      <c r="BJ1284" s="122"/>
      <c r="BK1284" s="122"/>
      <c r="BL1284" s="122"/>
    </row>
    <row r="1285" spans="62:64" x14ac:dyDescent="0.25">
      <c r="BJ1285" s="122"/>
      <c r="BK1285" s="122"/>
      <c r="BL1285" s="122"/>
    </row>
    <row r="1286" spans="62:64" x14ac:dyDescent="0.25">
      <c r="BJ1286" s="122"/>
      <c r="BK1286" s="122"/>
      <c r="BL1286" s="122"/>
    </row>
    <row r="1287" spans="62:64" x14ac:dyDescent="0.25">
      <c r="BJ1287" s="122"/>
      <c r="BK1287" s="122"/>
      <c r="BL1287" s="122"/>
    </row>
    <row r="1288" spans="62:64" x14ac:dyDescent="0.25">
      <c r="BJ1288" s="122"/>
      <c r="BK1288" s="122"/>
      <c r="BL1288" s="122"/>
    </row>
    <row r="1289" spans="62:64" x14ac:dyDescent="0.25">
      <c r="BJ1289" s="122"/>
      <c r="BK1289" s="122"/>
      <c r="BL1289" s="122"/>
    </row>
    <row r="1297" spans="62:64" x14ac:dyDescent="0.25">
      <c r="BJ1297" s="122"/>
      <c r="BK1297" s="122"/>
      <c r="BL1297" s="122"/>
    </row>
    <row r="1298" spans="62:64" x14ac:dyDescent="0.25">
      <c r="BJ1298" s="122"/>
      <c r="BK1298" s="122"/>
      <c r="BL1298" s="122"/>
    </row>
    <row r="1299" spans="62:64" x14ac:dyDescent="0.25">
      <c r="BJ1299" s="122"/>
      <c r="BK1299" s="122"/>
      <c r="BL1299" s="122"/>
    </row>
    <row r="1300" spans="62:64" x14ac:dyDescent="0.25">
      <c r="BJ1300" s="122"/>
      <c r="BK1300" s="122"/>
      <c r="BL1300" s="122"/>
    </row>
    <row r="1301" spans="62:64" x14ac:dyDescent="0.25">
      <c r="BJ1301" s="122"/>
      <c r="BK1301" s="122"/>
      <c r="BL1301" s="1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2:BL1284"/>
  <sheetViews>
    <sheetView workbookViewId="0">
      <selection activeCell="I7" sqref="I7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0.7109375" style="122" bestFit="1" customWidth="1"/>
    <col min="5" max="5" width="12.7109375" style="122" bestFit="1" customWidth="1"/>
    <col min="6" max="8" width="0" style="122" hidden="1" customWidth="1"/>
    <col min="9" max="9" width="26.14062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16384" width="9.140625" style="122"/>
  </cols>
  <sheetData>
    <row r="2" spans="5:61" x14ac:dyDescent="0.25">
      <c r="E2" s="123"/>
      <c r="O2" s="141"/>
      <c r="P2" s="141"/>
      <c r="R2" s="142"/>
      <c r="Y2" s="141"/>
      <c r="AA2" s="141"/>
      <c r="AC2" s="141"/>
      <c r="AO2" s="141"/>
      <c r="AP2" s="141"/>
      <c r="AQ2" s="141"/>
      <c r="AR2" s="141"/>
      <c r="AS2" s="141"/>
      <c r="AT2" s="141"/>
      <c r="AU2" s="141"/>
      <c r="AY2" s="141"/>
      <c r="BI2" s="142"/>
    </row>
    <row r="3" spans="5:61" x14ac:dyDescent="0.25">
      <c r="E3" s="123"/>
      <c r="O3" s="141"/>
      <c r="P3" s="141"/>
      <c r="R3" s="142"/>
      <c r="Y3" s="141"/>
      <c r="AA3" s="141"/>
      <c r="AC3" s="141"/>
      <c r="AO3" s="141"/>
      <c r="AP3" s="141"/>
      <c r="AQ3" s="141"/>
      <c r="AR3" s="141"/>
      <c r="AS3" s="141"/>
      <c r="AT3" s="141"/>
      <c r="AU3" s="141"/>
      <c r="AY3" s="141"/>
      <c r="BI3" s="142"/>
    </row>
    <row r="4" spans="5:61" x14ac:dyDescent="0.25">
      <c r="E4" s="123"/>
      <c r="O4" s="141"/>
      <c r="P4" s="141"/>
      <c r="R4" s="142"/>
      <c r="Y4" s="141"/>
      <c r="AA4" s="141"/>
      <c r="AC4" s="141"/>
      <c r="AO4" s="141"/>
      <c r="AP4" s="141"/>
      <c r="AQ4" s="141"/>
      <c r="AR4" s="141"/>
      <c r="AS4" s="141"/>
      <c r="AT4" s="141"/>
      <c r="AU4" s="141"/>
      <c r="AY4" s="141"/>
      <c r="BI4" s="142"/>
    </row>
    <row r="5" spans="5:61" x14ac:dyDescent="0.25">
      <c r="E5" s="123"/>
      <c r="O5" s="141"/>
      <c r="P5" s="141"/>
      <c r="R5" s="142"/>
      <c r="Y5" s="141"/>
      <c r="AA5" s="141"/>
      <c r="AC5" s="141"/>
      <c r="AO5" s="141"/>
      <c r="AP5" s="141"/>
      <c r="AQ5" s="141"/>
      <c r="AR5" s="141"/>
      <c r="AS5" s="141"/>
      <c r="AT5" s="141"/>
      <c r="AU5" s="141"/>
      <c r="AY5" s="141"/>
      <c r="BI5" s="142"/>
    </row>
    <row r="6" spans="5:61" x14ac:dyDescent="0.25">
      <c r="E6" s="123"/>
      <c r="O6" s="141"/>
      <c r="P6" s="141"/>
      <c r="R6" s="142"/>
      <c r="Y6" s="141"/>
      <c r="AA6" s="141"/>
      <c r="AC6" s="141"/>
      <c r="AO6" s="141"/>
      <c r="AP6" s="141"/>
      <c r="AQ6" s="141"/>
      <c r="AR6" s="141"/>
      <c r="AS6" s="141"/>
      <c r="AT6" s="141"/>
      <c r="AU6" s="141"/>
      <c r="AY6" s="141"/>
      <c r="BI6" s="142"/>
    </row>
    <row r="7" spans="5:61" x14ac:dyDescent="0.25">
      <c r="E7" s="123"/>
      <c r="O7" s="141"/>
      <c r="P7" s="141"/>
      <c r="R7" s="142"/>
      <c r="Y7" s="141"/>
      <c r="AA7" s="141"/>
      <c r="AC7" s="141"/>
      <c r="AO7" s="141"/>
      <c r="AP7" s="141"/>
      <c r="AQ7" s="141"/>
      <c r="AR7" s="141"/>
      <c r="AS7" s="141"/>
      <c r="AT7" s="141"/>
      <c r="AU7" s="141"/>
      <c r="AY7" s="141"/>
      <c r="BI7" s="142"/>
    </row>
    <row r="8" spans="5:61" x14ac:dyDescent="0.25">
      <c r="E8" s="123"/>
      <c r="O8" s="141"/>
      <c r="P8" s="141"/>
      <c r="R8" s="142"/>
      <c r="Y8" s="141"/>
      <c r="AA8" s="141"/>
      <c r="AC8" s="141"/>
      <c r="AO8" s="141"/>
      <c r="AP8" s="141"/>
      <c r="AQ8" s="141"/>
      <c r="AR8" s="141"/>
      <c r="AS8" s="141"/>
      <c r="AT8" s="141"/>
      <c r="AU8" s="141"/>
      <c r="AY8" s="141"/>
      <c r="BI8" s="142"/>
    </row>
    <row r="9" spans="5:61" x14ac:dyDescent="0.25">
      <c r="E9" s="123"/>
      <c r="O9" s="141"/>
      <c r="P9" s="141"/>
      <c r="R9" s="142"/>
      <c r="Y9" s="141"/>
      <c r="AA9" s="141"/>
      <c r="AC9" s="141"/>
      <c r="AO9" s="141"/>
      <c r="AP9" s="141"/>
      <c r="AQ9" s="141"/>
      <c r="AR9" s="141"/>
      <c r="AS9" s="141"/>
      <c r="AT9" s="141"/>
      <c r="AU9" s="141"/>
      <c r="AY9" s="141"/>
      <c r="BI9" s="142"/>
    </row>
    <row r="10" spans="5:61" x14ac:dyDescent="0.25">
      <c r="E10" s="123"/>
      <c r="O10" s="141"/>
      <c r="P10" s="141"/>
      <c r="R10" s="142"/>
      <c r="Y10" s="141"/>
      <c r="AA10" s="141"/>
      <c r="AC10" s="141"/>
      <c r="AO10" s="141"/>
      <c r="AP10" s="141"/>
      <c r="AQ10" s="141"/>
      <c r="AR10" s="141"/>
      <c r="AS10" s="141"/>
      <c r="AT10" s="141"/>
      <c r="AU10" s="141"/>
      <c r="AY10" s="141"/>
      <c r="BI10" s="142"/>
    </row>
    <row r="11" spans="5:61" x14ac:dyDescent="0.25">
      <c r="E11" s="123"/>
      <c r="O11" s="141"/>
      <c r="P11" s="141"/>
      <c r="R11" s="142"/>
      <c r="Y11" s="141"/>
      <c r="AO11" s="141"/>
      <c r="AP11" s="141"/>
      <c r="AQ11" s="141"/>
      <c r="AR11" s="141"/>
      <c r="AS11" s="141"/>
      <c r="AT11" s="141"/>
      <c r="AU11" s="141"/>
      <c r="AX11" s="141"/>
      <c r="AY11" s="141"/>
      <c r="BI11" s="142"/>
    </row>
    <row r="12" spans="5:61" x14ac:dyDescent="0.25">
      <c r="E12" s="123"/>
      <c r="O12" s="141"/>
      <c r="P12" s="141"/>
      <c r="R12" s="142"/>
      <c r="AO12" s="141"/>
      <c r="AP12" s="141"/>
      <c r="AQ12" s="141"/>
      <c r="AR12" s="141"/>
      <c r="AS12" s="141"/>
      <c r="AT12" s="141"/>
      <c r="AU12" s="141"/>
      <c r="AY12" s="141"/>
      <c r="BI12" s="142"/>
    </row>
    <row r="13" spans="5:61" x14ac:dyDescent="0.25">
      <c r="E13" s="123"/>
      <c r="O13" s="141"/>
      <c r="P13" s="141"/>
      <c r="R13" s="142"/>
      <c r="Y13" s="141"/>
      <c r="AA13" s="141"/>
      <c r="AC13" s="141"/>
      <c r="AO13" s="141"/>
      <c r="AP13" s="141"/>
      <c r="AQ13" s="141"/>
      <c r="AR13" s="141"/>
      <c r="AS13" s="141"/>
      <c r="AT13" s="141"/>
      <c r="AU13" s="141"/>
      <c r="AX13" s="141"/>
      <c r="AY13" s="141"/>
      <c r="BI13" s="142"/>
    </row>
    <row r="14" spans="5:61" x14ac:dyDescent="0.25">
      <c r="E14" s="123"/>
      <c r="O14" s="141"/>
      <c r="P14" s="141"/>
      <c r="R14" s="142"/>
      <c r="Y14" s="141"/>
      <c r="AA14" s="141"/>
      <c r="AC14" s="141"/>
      <c r="AO14" s="141"/>
      <c r="AP14" s="141"/>
      <c r="AQ14" s="141"/>
      <c r="AR14" s="141"/>
      <c r="AS14" s="141"/>
      <c r="AT14" s="141"/>
      <c r="AU14" s="141"/>
      <c r="AY14" s="141"/>
      <c r="BI14" s="142"/>
    </row>
    <row r="15" spans="5:61" x14ac:dyDescent="0.25">
      <c r="E15" s="123"/>
      <c r="O15" s="141"/>
      <c r="P15" s="141"/>
      <c r="R15" s="142"/>
      <c r="Y15" s="141"/>
      <c r="AA15" s="141"/>
      <c r="AC15" s="141"/>
      <c r="AO15" s="141"/>
      <c r="AP15" s="141"/>
      <c r="AQ15" s="141"/>
      <c r="AR15" s="141"/>
      <c r="AS15" s="141"/>
      <c r="AT15" s="141"/>
      <c r="AU15" s="141"/>
      <c r="AY15" s="141"/>
      <c r="BI15" s="142"/>
    </row>
    <row r="16" spans="5:61" x14ac:dyDescent="0.25">
      <c r="E16" s="123"/>
      <c r="O16" s="141"/>
      <c r="P16" s="141"/>
      <c r="R16" s="142"/>
      <c r="Y16" s="141"/>
      <c r="AA16" s="141"/>
      <c r="AC16" s="141"/>
      <c r="AO16" s="141"/>
      <c r="AP16" s="141"/>
      <c r="AQ16" s="141"/>
      <c r="AR16" s="141"/>
      <c r="AS16" s="141"/>
      <c r="AT16" s="141"/>
      <c r="AU16" s="141"/>
      <c r="AY16" s="141"/>
      <c r="BI16" s="142"/>
    </row>
    <row r="17" spans="5:64" x14ac:dyDescent="0.25">
      <c r="E17" s="123"/>
      <c r="O17" s="141"/>
      <c r="P17" s="141"/>
      <c r="R17" s="142"/>
      <c r="Y17" s="141"/>
      <c r="AA17" s="141"/>
      <c r="AC17" s="141"/>
      <c r="AO17" s="141"/>
      <c r="AP17" s="141"/>
      <c r="AQ17" s="141"/>
      <c r="AR17" s="141"/>
      <c r="AS17" s="141"/>
      <c r="AT17" s="141"/>
      <c r="AU17" s="141"/>
      <c r="AY17" s="141"/>
      <c r="BI17" s="142"/>
      <c r="BJ17" s="122"/>
      <c r="BK17" s="122"/>
      <c r="BL17" s="122"/>
    </row>
    <row r="18" spans="5:64" x14ac:dyDescent="0.25">
      <c r="E18" s="123"/>
      <c r="O18" s="141"/>
      <c r="P18" s="141"/>
      <c r="R18" s="142"/>
      <c r="Y18" s="141"/>
      <c r="AO18" s="141"/>
      <c r="AP18" s="141"/>
      <c r="AQ18" s="141"/>
      <c r="AR18" s="141"/>
      <c r="AS18" s="141"/>
      <c r="AT18" s="141"/>
      <c r="AU18" s="141"/>
      <c r="AY18" s="141"/>
      <c r="BI18" s="142"/>
      <c r="BJ18" s="122"/>
      <c r="BK18" s="122"/>
      <c r="BL18" s="122"/>
    </row>
    <row r="19" spans="5:64" x14ac:dyDescent="0.25">
      <c r="E19" s="123"/>
      <c r="O19" s="141"/>
      <c r="P19" s="141"/>
      <c r="R19" s="142"/>
      <c r="Y19" s="141"/>
      <c r="AO19" s="141"/>
      <c r="AP19" s="141"/>
      <c r="AQ19" s="141"/>
      <c r="AR19" s="141"/>
      <c r="AS19" s="141"/>
      <c r="AT19" s="141"/>
      <c r="AU19" s="141"/>
      <c r="AY19" s="141"/>
      <c r="BI19" s="142"/>
      <c r="BJ19" s="122"/>
      <c r="BK19" s="122"/>
      <c r="BL19" s="122"/>
    </row>
    <row r="20" spans="5:64" x14ac:dyDescent="0.25">
      <c r="E20" s="123"/>
      <c r="O20" s="141"/>
      <c r="P20" s="141"/>
      <c r="R20" s="142"/>
      <c r="Y20" s="141"/>
      <c r="AA20" s="141"/>
      <c r="AC20" s="141"/>
      <c r="AO20" s="141"/>
      <c r="AP20" s="141"/>
      <c r="AQ20" s="141"/>
      <c r="AR20" s="141"/>
      <c r="AS20" s="141"/>
      <c r="AT20" s="141"/>
      <c r="AU20" s="141"/>
      <c r="AY20" s="141"/>
      <c r="BI20" s="142"/>
      <c r="BJ20" s="122"/>
      <c r="BK20" s="122"/>
      <c r="BL20" s="122"/>
    </row>
    <row r="21" spans="5:64" x14ac:dyDescent="0.25">
      <c r="E21" s="123"/>
      <c r="O21" s="141"/>
      <c r="P21" s="141"/>
      <c r="R21" s="142"/>
      <c r="Y21" s="141"/>
      <c r="AA21" s="141"/>
      <c r="AC21" s="141"/>
      <c r="AO21" s="141"/>
      <c r="AP21" s="141"/>
      <c r="AQ21" s="141"/>
      <c r="AR21" s="141"/>
      <c r="AS21" s="141"/>
      <c r="AT21" s="141"/>
      <c r="AU21" s="141"/>
      <c r="AY21" s="141"/>
      <c r="BI21" s="142"/>
      <c r="BJ21" s="122"/>
      <c r="BK21" s="122"/>
      <c r="BL21" s="122"/>
    </row>
    <row r="22" spans="5:64" x14ac:dyDescent="0.25">
      <c r="E22" s="123"/>
      <c r="O22" s="141"/>
      <c r="P22" s="141"/>
      <c r="R22" s="142"/>
      <c r="Y22" s="141"/>
      <c r="AA22" s="141"/>
      <c r="AC22" s="141"/>
      <c r="AO22" s="141"/>
      <c r="AP22" s="141"/>
      <c r="AQ22" s="141"/>
      <c r="AR22" s="141"/>
      <c r="AS22" s="141"/>
      <c r="AT22" s="141"/>
      <c r="AU22" s="141"/>
      <c r="AX22" s="141"/>
      <c r="AY22" s="141"/>
      <c r="BI22" s="142"/>
      <c r="BJ22" s="122"/>
      <c r="BK22" s="122"/>
      <c r="BL22" s="122"/>
    </row>
    <row r="23" spans="5:64" x14ac:dyDescent="0.25">
      <c r="E23" s="123"/>
      <c r="O23" s="141"/>
      <c r="P23" s="141"/>
      <c r="R23" s="142"/>
      <c r="Y23" s="141"/>
      <c r="AA23" s="141"/>
      <c r="AC23" s="141"/>
      <c r="AO23" s="141"/>
      <c r="AP23" s="141"/>
      <c r="AQ23" s="141"/>
      <c r="AR23" s="141"/>
      <c r="AS23" s="141"/>
      <c r="AT23" s="141"/>
      <c r="AU23" s="141"/>
      <c r="AY23" s="141"/>
      <c r="BI23" s="142"/>
      <c r="BJ23" s="122"/>
      <c r="BK23" s="122"/>
      <c r="BL23" s="122"/>
    </row>
    <row r="24" spans="5:64" x14ac:dyDescent="0.25">
      <c r="E24" s="123"/>
      <c r="O24" s="141"/>
      <c r="P24" s="141"/>
      <c r="R24" s="142"/>
      <c r="Y24" s="141"/>
      <c r="AA24" s="141"/>
      <c r="AC24" s="141"/>
      <c r="AO24" s="141"/>
      <c r="AP24" s="141"/>
      <c r="AQ24" s="141"/>
      <c r="AR24" s="141"/>
      <c r="AS24" s="141"/>
      <c r="AT24" s="141"/>
      <c r="AU24" s="141"/>
      <c r="AY24" s="141"/>
      <c r="BI24" s="142"/>
      <c r="BJ24" s="122"/>
      <c r="BK24" s="122"/>
      <c r="BL24" s="122"/>
    </row>
    <row r="25" spans="5:64" x14ac:dyDescent="0.25">
      <c r="E25" s="123"/>
      <c r="O25" s="141"/>
      <c r="P25" s="141"/>
      <c r="R25" s="142"/>
      <c r="AO25" s="141"/>
      <c r="AP25" s="141"/>
      <c r="AQ25" s="141"/>
      <c r="AR25" s="141"/>
      <c r="AS25" s="141"/>
      <c r="AT25" s="141"/>
      <c r="AU25" s="141"/>
      <c r="AY25" s="141"/>
      <c r="BI25" s="142"/>
      <c r="BJ25" s="122"/>
      <c r="BK25" s="122"/>
      <c r="BL25" s="122"/>
    </row>
    <row r="26" spans="5:64" x14ac:dyDescent="0.25">
      <c r="E26" s="123"/>
      <c r="O26" s="141"/>
      <c r="P26" s="141"/>
      <c r="R26" s="142"/>
      <c r="Y26" s="141"/>
      <c r="AA26" s="141"/>
      <c r="AC26" s="141"/>
      <c r="AO26" s="141"/>
      <c r="AP26" s="141"/>
      <c r="AQ26" s="141"/>
      <c r="AR26" s="141"/>
      <c r="AS26" s="141"/>
      <c r="AT26" s="141"/>
      <c r="AU26" s="141"/>
      <c r="AX26" s="141"/>
      <c r="AY26" s="141"/>
      <c r="BI26" s="142"/>
      <c r="BJ26" s="122"/>
      <c r="BK26" s="122"/>
      <c r="BL26" s="122"/>
    </row>
    <row r="27" spans="5:64" x14ac:dyDescent="0.25">
      <c r="E27" s="123"/>
      <c r="O27" s="141"/>
      <c r="P27" s="141"/>
      <c r="R27" s="142"/>
      <c r="Y27" s="141"/>
      <c r="AA27" s="141"/>
      <c r="AC27" s="141"/>
      <c r="AO27" s="141"/>
      <c r="AP27" s="141"/>
      <c r="AQ27" s="141"/>
      <c r="AR27" s="141"/>
      <c r="AS27" s="141"/>
      <c r="AT27" s="141"/>
      <c r="AU27" s="141"/>
      <c r="AY27" s="141"/>
      <c r="BI27" s="142"/>
      <c r="BJ27" s="122"/>
      <c r="BK27" s="122"/>
      <c r="BL27" s="122"/>
    </row>
    <row r="28" spans="5:64" x14ac:dyDescent="0.25">
      <c r="E28" s="123"/>
      <c r="O28" s="141"/>
      <c r="P28" s="141"/>
      <c r="R28" s="142"/>
      <c r="Y28" s="141"/>
      <c r="AA28" s="141"/>
      <c r="AC28" s="141"/>
      <c r="AO28" s="141"/>
      <c r="AP28" s="141"/>
      <c r="AQ28" s="141"/>
      <c r="AR28" s="141"/>
      <c r="AS28" s="141"/>
      <c r="AT28" s="141"/>
      <c r="AU28" s="141"/>
      <c r="AY28" s="141"/>
      <c r="BI28" s="142"/>
      <c r="BJ28" s="122"/>
      <c r="BK28" s="122"/>
      <c r="BL28" s="122"/>
    </row>
    <row r="29" spans="5:64" x14ac:dyDescent="0.25">
      <c r="E29" s="123"/>
      <c r="O29" s="141"/>
      <c r="P29" s="141"/>
      <c r="R29" s="142"/>
      <c r="Y29" s="141"/>
      <c r="AA29" s="141"/>
      <c r="AC29" s="141"/>
      <c r="AO29" s="141"/>
      <c r="AP29" s="141"/>
      <c r="AQ29" s="141"/>
      <c r="AR29" s="141"/>
      <c r="AS29" s="141"/>
      <c r="AT29" s="141"/>
      <c r="AU29" s="141"/>
      <c r="AY29" s="141"/>
      <c r="BI29" s="142"/>
      <c r="BJ29" s="122"/>
      <c r="BK29" s="122"/>
      <c r="BL29" s="122"/>
    </row>
    <row r="30" spans="5:64" x14ac:dyDescent="0.25">
      <c r="E30" s="123"/>
      <c r="O30" s="141"/>
      <c r="P30" s="141"/>
      <c r="R30" s="142"/>
      <c r="Y30" s="141"/>
      <c r="AA30" s="141"/>
      <c r="AC30" s="141"/>
      <c r="AO30" s="141"/>
      <c r="AP30" s="141"/>
      <c r="AQ30" s="141"/>
      <c r="AR30" s="141"/>
      <c r="AS30" s="141"/>
      <c r="AT30" s="141"/>
      <c r="AU30" s="141"/>
      <c r="AX30" s="141"/>
      <c r="AY30" s="141"/>
      <c r="BI30" s="142"/>
      <c r="BJ30" s="122"/>
      <c r="BK30" s="122"/>
      <c r="BL30" s="122"/>
    </row>
    <row r="31" spans="5:64" x14ac:dyDescent="0.25">
      <c r="E31" s="123"/>
      <c r="O31" s="141"/>
      <c r="P31" s="141"/>
      <c r="R31" s="142"/>
      <c r="Y31" s="141"/>
      <c r="AA31" s="141"/>
      <c r="AC31" s="141"/>
      <c r="AO31" s="141"/>
      <c r="AP31" s="141"/>
      <c r="AQ31" s="141"/>
      <c r="AR31" s="141"/>
      <c r="AS31" s="141"/>
      <c r="AT31" s="141"/>
      <c r="AU31" s="141"/>
      <c r="AY31" s="141"/>
      <c r="BI31" s="142"/>
      <c r="BJ31" s="122"/>
      <c r="BK31" s="122"/>
      <c r="BL31" s="122"/>
    </row>
    <row r="32" spans="5:64" x14ac:dyDescent="0.25">
      <c r="E32" s="123"/>
      <c r="O32" s="141"/>
      <c r="P32" s="141"/>
      <c r="R32" s="142"/>
      <c r="Y32" s="141"/>
      <c r="AA32" s="141"/>
      <c r="AC32" s="141"/>
      <c r="AO32" s="141"/>
      <c r="AP32" s="141"/>
      <c r="AQ32" s="141"/>
      <c r="AR32" s="141"/>
      <c r="AS32" s="141"/>
      <c r="AT32" s="141"/>
      <c r="AU32" s="141"/>
      <c r="AY32" s="141"/>
      <c r="BI32" s="142"/>
      <c r="BJ32" s="122"/>
      <c r="BK32" s="122"/>
      <c r="BL32" s="122"/>
    </row>
    <row r="33" spans="5:61" x14ac:dyDescent="0.25">
      <c r="E33" s="123"/>
      <c r="R33" s="142"/>
      <c r="Y33" s="141"/>
      <c r="AA33" s="141"/>
      <c r="AC33" s="141"/>
      <c r="AO33" s="141"/>
      <c r="AP33" s="141"/>
      <c r="AQ33" s="141"/>
      <c r="AR33" s="141"/>
      <c r="AS33" s="141"/>
      <c r="AT33" s="141"/>
      <c r="AU33" s="141"/>
      <c r="AY33" s="141"/>
      <c r="BI33" s="142"/>
    </row>
    <row r="34" spans="5:61" x14ac:dyDescent="0.25">
      <c r="E34" s="123"/>
      <c r="O34" s="141"/>
      <c r="P34" s="141"/>
      <c r="R34" s="142"/>
      <c r="Y34" s="141"/>
      <c r="AA34" s="141"/>
      <c r="AC34" s="141"/>
      <c r="AO34" s="141"/>
      <c r="AP34" s="141"/>
      <c r="AQ34" s="141"/>
      <c r="AR34" s="141"/>
      <c r="AS34" s="141"/>
      <c r="AT34" s="141"/>
      <c r="AU34" s="141"/>
      <c r="AY34" s="141"/>
      <c r="BI34" s="142"/>
    </row>
    <row r="35" spans="5:61" x14ac:dyDescent="0.25">
      <c r="E35" s="123"/>
      <c r="O35" s="141"/>
      <c r="P35" s="141"/>
      <c r="R35" s="142"/>
      <c r="AO35" s="141"/>
      <c r="AP35" s="141"/>
      <c r="AQ35" s="141"/>
      <c r="AR35" s="141"/>
      <c r="AS35" s="141"/>
      <c r="AT35" s="141"/>
      <c r="AU35" s="141"/>
      <c r="AY35" s="141"/>
      <c r="BI35" s="142"/>
    </row>
    <row r="36" spans="5:61" x14ac:dyDescent="0.25">
      <c r="E36" s="123"/>
      <c r="O36" s="141"/>
      <c r="P36" s="141"/>
      <c r="R36" s="142"/>
      <c r="Y36" s="141"/>
      <c r="AA36" s="141"/>
      <c r="AC36" s="141"/>
      <c r="AO36" s="141"/>
      <c r="AP36" s="141"/>
      <c r="AQ36" s="141"/>
      <c r="AR36" s="141"/>
      <c r="AS36" s="141"/>
      <c r="AT36" s="141"/>
      <c r="AU36" s="141"/>
      <c r="AY36" s="141"/>
      <c r="BI36" s="142"/>
    </row>
    <row r="37" spans="5:61" x14ac:dyDescent="0.25">
      <c r="E37" s="123"/>
      <c r="O37" s="141"/>
      <c r="P37" s="141"/>
      <c r="R37" s="142"/>
      <c r="Y37" s="141"/>
      <c r="AA37" s="141"/>
      <c r="AC37" s="141"/>
      <c r="AO37" s="141"/>
      <c r="AP37" s="141"/>
      <c r="AQ37" s="141"/>
      <c r="AR37" s="141"/>
      <c r="AS37" s="141"/>
      <c r="AT37" s="141"/>
      <c r="AU37" s="141"/>
      <c r="AY37" s="141"/>
      <c r="BI37" s="142"/>
    </row>
    <row r="38" spans="5:61" x14ac:dyDescent="0.25">
      <c r="E38" s="123"/>
      <c r="O38" s="141"/>
      <c r="P38" s="141"/>
      <c r="R38" s="142"/>
      <c r="Y38" s="141"/>
      <c r="AA38" s="141"/>
      <c r="AC38" s="141"/>
      <c r="AO38" s="141"/>
      <c r="AP38" s="141"/>
      <c r="AQ38" s="141"/>
      <c r="AR38" s="141"/>
      <c r="AS38" s="141"/>
      <c r="AT38" s="141"/>
      <c r="AU38" s="141"/>
      <c r="AX38" s="141"/>
      <c r="AY38" s="141"/>
      <c r="BI38" s="142"/>
    </row>
    <row r="39" spans="5:61" x14ac:dyDescent="0.25">
      <c r="E39" s="123"/>
      <c r="O39" s="141"/>
      <c r="P39" s="141"/>
      <c r="R39" s="142"/>
      <c r="Y39" s="141"/>
      <c r="AA39" s="141"/>
      <c r="AC39" s="141"/>
      <c r="AO39" s="141"/>
      <c r="AP39" s="141"/>
      <c r="AQ39" s="141"/>
      <c r="AR39" s="141"/>
      <c r="AS39" s="141"/>
      <c r="AT39" s="141"/>
      <c r="AU39" s="141"/>
      <c r="AY39" s="141"/>
      <c r="BI39" s="142"/>
    </row>
    <row r="40" spans="5:61" x14ac:dyDescent="0.25">
      <c r="E40" s="123"/>
      <c r="O40" s="141"/>
      <c r="P40" s="141"/>
      <c r="R40" s="142"/>
      <c r="Y40" s="141"/>
      <c r="AA40" s="141"/>
      <c r="AC40" s="141"/>
      <c r="AO40" s="141"/>
      <c r="AP40" s="141"/>
      <c r="AQ40" s="141"/>
      <c r="AR40" s="141"/>
      <c r="AS40" s="141"/>
      <c r="AT40" s="141"/>
      <c r="AU40" s="141"/>
      <c r="AY40" s="141"/>
      <c r="BI40" s="142"/>
    </row>
    <row r="41" spans="5:61" x14ac:dyDescent="0.25">
      <c r="E41" s="123"/>
      <c r="R41" s="142"/>
      <c r="Y41" s="141"/>
      <c r="AA41" s="141"/>
      <c r="AC41" s="141"/>
      <c r="AO41" s="141"/>
      <c r="AP41" s="141"/>
      <c r="AQ41" s="141"/>
      <c r="AR41" s="141"/>
      <c r="AS41" s="141"/>
      <c r="AT41" s="141"/>
      <c r="AU41" s="141"/>
      <c r="AY41" s="141"/>
      <c r="BI41" s="142"/>
    </row>
    <row r="42" spans="5:61" x14ac:dyDescent="0.25">
      <c r="E42" s="123"/>
      <c r="O42" s="141"/>
      <c r="P42" s="141"/>
      <c r="R42" s="142"/>
      <c r="Y42" s="141"/>
      <c r="AA42" s="141"/>
      <c r="AC42" s="141"/>
      <c r="AO42" s="141"/>
      <c r="AP42" s="141"/>
      <c r="AQ42" s="141"/>
      <c r="AR42" s="141"/>
      <c r="AS42" s="141"/>
      <c r="AT42" s="141"/>
      <c r="AU42" s="141"/>
      <c r="AY42" s="141"/>
      <c r="BI42" s="142"/>
    </row>
    <row r="43" spans="5:61" x14ac:dyDescent="0.25">
      <c r="E43" s="123"/>
      <c r="O43" s="141"/>
      <c r="P43" s="141"/>
      <c r="R43" s="142"/>
      <c r="Y43" s="141"/>
      <c r="AA43" s="141"/>
      <c r="AC43" s="141"/>
      <c r="AO43" s="141"/>
      <c r="AP43" s="141"/>
      <c r="AQ43" s="141"/>
      <c r="AR43" s="141"/>
      <c r="AS43" s="141"/>
      <c r="AT43" s="141"/>
      <c r="AU43" s="141"/>
      <c r="AY43" s="141"/>
      <c r="BI43" s="142"/>
    </row>
    <row r="44" spans="5:61" x14ac:dyDescent="0.25">
      <c r="E44" s="123"/>
      <c r="R44" s="142"/>
      <c r="Y44" s="141"/>
      <c r="AA44" s="141"/>
      <c r="AC44" s="141"/>
      <c r="AO44" s="141"/>
      <c r="AP44" s="141"/>
      <c r="AQ44" s="141"/>
      <c r="AR44" s="141"/>
      <c r="AS44" s="141"/>
      <c r="AT44" s="141"/>
      <c r="AU44" s="141"/>
      <c r="AY44" s="141"/>
      <c r="BI44" s="142"/>
    </row>
    <row r="45" spans="5:61" x14ac:dyDescent="0.25">
      <c r="E45" s="123"/>
      <c r="O45" s="141"/>
      <c r="P45" s="141"/>
      <c r="R45" s="142"/>
      <c r="Y45" s="141"/>
      <c r="AO45" s="141"/>
      <c r="AP45" s="141"/>
      <c r="AQ45" s="141"/>
      <c r="AR45" s="141"/>
      <c r="AS45" s="141"/>
      <c r="AT45" s="141"/>
      <c r="AU45" s="141"/>
      <c r="AY45" s="141"/>
      <c r="BI45" s="142"/>
    </row>
    <row r="46" spans="5:61" x14ac:dyDescent="0.25">
      <c r="E46" s="123"/>
      <c r="O46" s="141"/>
      <c r="P46" s="141"/>
      <c r="R46" s="142"/>
      <c r="Y46" s="141"/>
      <c r="AA46" s="141"/>
      <c r="AC46" s="141"/>
      <c r="AO46" s="141"/>
      <c r="AP46" s="141"/>
      <c r="AQ46" s="141"/>
      <c r="AR46" s="141"/>
      <c r="AS46" s="141"/>
      <c r="AT46" s="141"/>
      <c r="AU46" s="141"/>
      <c r="AX46" s="141"/>
      <c r="AY46" s="141"/>
      <c r="BI46" s="142"/>
    </row>
    <row r="47" spans="5:61" x14ac:dyDescent="0.25">
      <c r="E47" s="123"/>
      <c r="R47" s="142"/>
      <c r="Y47" s="141"/>
      <c r="AA47" s="141"/>
      <c r="AC47" s="141"/>
      <c r="AO47" s="141"/>
      <c r="AP47" s="141"/>
      <c r="AQ47" s="141"/>
      <c r="AR47" s="141"/>
      <c r="AS47" s="141"/>
      <c r="AT47" s="141"/>
      <c r="AU47" s="141"/>
      <c r="AY47" s="141"/>
      <c r="BI47" s="142"/>
    </row>
    <row r="48" spans="5:61" x14ac:dyDescent="0.25">
      <c r="E48" s="123"/>
      <c r="O48" s="141"/>
      <c r="P48" s="141"/>
      <c r="R48" s="142"/>
      <c r="Y48" s="141"/>
      <c r="AA48" s="141"/>
      <c r="AC48" s="141"/>
      <c r="AO48" s="141"/>
      <c r="AP48" s="141"/>
      <c r="AQ48" s="141"/>
      <c r="AR48" s="141"/>
      <c r="AS48" s="141"/>
      <c r="AT48" s="141"/>
      <c r="AU48" s="141"/>
      <c r="AY48" s="141"/>
      <c r="BI48" s="142"/>
    </row>
    <row r="49" spans="5:61" x14ac:dyDescent="0.25">
      <c r="E49" s="123"/>
      <c r="O49" s="141"/>
      <c r="P49" s="141"/>
      <c r="R49" s="142"/>
      <c r="AO49" s="141"/>
      <c r="AP49" s="141"/>
      <c r="AQ49" s="141"/>
      <c r="AR49" s="141"/>
      <c r="AS49" s="141"/>
      <c r="AT49" s="141"/>
      <c r="AU49" s="141"/>
      <c r="AY49" s="141"/>
      <c r="BI49" s="142"/>
    </row>
    <row r="50" spans="5:61" x14ac:dyDescent="0.25">
      <c r="E50" s="123"/>
      <c r="O50" s="141"/>
      <c r="P50" s="141"/>
      <c r="R50" s="142"/>
      <c r="Y50" s="141"/>
      <c r="AA50" s="141"/>
      <c r="AC50" s="141"/>
      <c r="AO50" s="141"/>
      <c r="AP50" s="141"/>
      <c r="AQ50" s="141"/>
      <c r="AR50" s="141"/>
      <c r="AS50" s="141"/>
      <c r="AT50" s="141"/>
      <c r="AU50" s="141"/>
      <c r="AY50" s="141"/>
      <c r="BI50" s="142"/>
    </row>
    <row r="51" spans="5:61" x14ac:dyDescent="0.25">
      <c r="E51" s="123"/>
      <c r="O51" s="141"/>
      <c r="P51" s="141"/>
      <c r="R51" s="142"/>
      <c r="Y51" s="141"/>
      <c r="AA51" s="141"/>
      <c r="AC51" s="141"/>
      <c r="AO51" s="141"/>
      <c r="AP51" s="141"/>
      <c r="AQ51" s="141"/>
      <c r="AR51" s="141"/>
      <c r="AS51" s="141"/>
      <c r="AT51" s="141"/>
      <c r="AU51" s="141"/>
      <c r="AX51" s="141"/>
      <c r="AY51" s="141"/>
      <c r="BI51" s="142"/>
    </row>
    <row r="52" spans="5:61" x14ac:dyDescent="0.25">
      <c r="E52" s="123"/>
      <c r="O52" s="141"/>
      <c r="P52" s="141"/>
      <c r="R52" s="142"/>
      <c r="Y52" s="141"/>
      <c r="AA52" s="141"/>
      <c r="AC52" s="141"/>
      <c r="AO52" s="141"/>
      <c r="AP52" s="141"/>
      <c r="AQ52" s="141"/>
      <c r="AR52" s="141"/>
      <c r="AS52" s="141"/>
      <c r="AT52" s="141"/>
      <c r="AU52" s="141"/>
      <c r="AY52" s="141"/>
      <c r="BI52" s="142"/>
    </row>
    <row r="53" spans="5:61" x14ac:dyDescent="0.25">
      <c r="E53" s="123"/>
      <c r="O53" s="141"/>
      <c r="P53" s="141"/>
      <c r="R53" s="142"/>
      <c r="Y53" s="141"/>
      <c r="AA53" s="141"/>
      <c r="AC53" s="141"/>
      <c r="AO53" s="141"/>
      <c r="AP53" s="141"/>
      <c r="AQ53" s="141"/>
      <c r="AR53" s="141"/>
      <c r="AS53" s="141"/>
      <c r="AT53" s="141"/>
      <c r="AU53" s="141"/>
      <c r="AY53" s="141"/>
      <c r="BC53" s="141"/>
      <c r="BI53" s="142"/>
    </row>
    <row r="54" spans="5:61" x14ac:dyDescent="0.25">
      <c r="E54" s="123"/>
      <c r="O54" s="141"/>
      <c r="P54" s="141"/>
      <c r="R54" s="142"/>
      <c r="Y54" s="141"/>
      <c r="AA54" s="141"/>
      <c r="AC54" s="141"/>
      <c r="AO54" s="141"/>
      <c r="AP54" s="141"/>
      <c r="AQ54" s="141"/>
      <c r="AR54" s="141"/>
      <c r="AS54" s="141"/>
      <c r="AT54" s="141"/>
      <c r="AU54" s="141"/>
      <c r="AX54" s="141"/>
      <c r="AY54" s="141"/>
      <c r="BI54" s="142"/>
    </row>
    <row r="55" spans="5:61" x14ac:dyDescent="0.25">
      <c r="E55" s="123"/>
      <c r="O55" s="141"/>
      <c r="P55" s="141"/>
      <c r="R55" s="142"/>
      <c r="Y55" s="141"/>
      <c r="AA55" s="141"/>
      <c r="AC55" s="141"/>
      <c r="AO55" s="141"/>
      <c r="AP55" s="141"/>
      <c r="AQ55" s="141"/>
      <c r="AR55" s="141"/>
      <c r="AS55" s="141"/>
      <c r="AT55" s="141"/>
      <c r="AU55" s="141"/>
      <c r="AY55" s="141"/>
      <c r="BI55" s="142"/>
    </row>
    <row r="56" spans="5:61" x14ac:dyDescent="0.25">
      <c r="E56" s="123"/>
      <c r="O56" s="141"/>
      <c r="P56" s="141"/>
      <c r="R56" s="142"/>
      <c r="AO56" s="141"/>
      <c r="AP56" s="141"/>
      <c r="AQ56" s="141"/>
      <c r="AR56" s="141"/>
      <c r="AS56" s="141"/>
      <c r="AT56" s="141"/>
      <c r="AU56" s="141"/>
      <c r="AY56" s="141"/>
      <c r="BI56" s="142"/>
    </row>
    <row r="57" spans="5:61" x14ac:dyDescent="0.25">
      <c r="E57" s="123"/>
      <c r="O57" s="141"/>
      <c r="P57" s="141"/>
      <c r="R57" s="142"/>
      <c r="Y57" s="141"/>
      <c r="AA57" s="141"/>
      <c r="AC57" s="141"/>
      <c r="AO57" s="141"/>
      <c r="AP57" s="141"/>
      <c r="AQ57" s="141"/>
      <c r="AR57" s="141"/>
      <c r="AS57" s="141"/>
      <c r="AT57" s="141"/>
      <c r="AU57" s="141"/>
      <c r="AY57" s="141"/>
      <c r="BI57" s="142"/>
    </row>
    <row r="58" spans="5:61" x14ac:dyDescent="0.25">
      <c r="E58" s="123"/>
      <c r="O58" s="141"/>
      <c r="P58" s="141"/>
      <c r="R58" s="142"/>
      <c r="Y58" s="141"/>
      <c r="AA58" s="141"/>
      <c r="AC58" s="141"/>
      <c r="AO58" s="141"/>
      <c r="AP58" s="141"/>
      <c r="AQ58" s="141"/>
      <c r="AR58" s="141"/>
      <c r="AS58" s="141"/>
      <c r="AT58" s="141"/>
      <c r="AU58" s="141"/>
      <c r="AY58" s="141"/>
      <c r="BI58" s="142"/>
    </row>
    <row r="59" spans="5:61" x14ac:dyDescent="0.25">
      <c r="E59" s="123"/>
      <c r="O59" s="141"/>
      <c r="P59" s="141"/>
      <c r="R59" s="142"/>
      <c r="Y59" s="141"/>
      <c r="AA59" s="141"/>
      <c r="AC59" s="141"/>
      <c r="AO59" s="141"/>
      <c r="AP59" s="141"/>
      <c r="AQ59" s="141"/>
      <c r="AR59" s="141"/>
      <c r="AS59" s="141"/>
      <c r="AT59" s="141"/>
      <c r="AU59" s="141"/>
      <c r="AY59" s="141"/>
      <c r="BI59" s="142"/>
    </row>
    <row r="60" spans="5:61" x14ac:dyDescent="0.25">
      <c r="E60" s="123"/>
      <c r="O60" s="141"/>
      <c r="P60" s="141"/>
      <c r="R60" s="142"/>
      <c r="Y60" s="141"/>
      <c r="AA60" s="141"/>
      <c r="AO60" s="141"/>
      <c r="AP60" s="141"/>
      <c r="AQ60" s="141"/>
      <c r="AR60" s="141"/>
      <c r="AS60" s="141"/>
      <c r="AT60" s="141"/>
      <c r="AU60" s="141"/>
      <c r="AY60" s="141"/>
      <c r="BC60" s="141"/>
      <c r="BI60" s="142"/>
    </row>
    <row r="61" spans="5:61" x14ac:dyDescent="0.25">
      <c r="E61" s="123"/>
      <c r="O61" s="141"/>
      <c r="P61" s="141"/>
      <c r="R61" s="142"/>
      <c r="Y61" s="141"/>
      <c r="AA61" s="141"/>
      <c r="AC61" s="141"/>
      <c r="AO61" s="141"/>
      <c r="AP61" s="141"/>
      <c r="AQ61" s="141"/>
      <c r="AR61" s="141"/>
      <c r="AS61" s="141"/>
      <c r="AT61" s="141"/>
      <c r="AU61" s="141"/>
      <c r="AY61" s="141"/>
      <c r="BI61" s="142"/>
    </row>
    <row r="62" spans="5:61" x14ac:dyDescent="0.25">
      <c r="E62" s="123"/>
      <c r="O62" s="141"/>
      <c r="P62" s="141"/>
      <c r="R62" s="142"/>
      <c r="Y62" s="141"/>
      <c r="AA62" s="141"/>
      <c r="AC62" s="141"/>
      <c r="AO62" s="141"/>
      <c r="AP62" s="141"/>
      <c r="AQ62" s="141"/>
      <c r="AR62" s="141"/>
      <c r="AS62" s="141"/>
      <c r="AT62" s="141"/>
      <c r="AU62" s="141"/>
      <c r="AY62" s="141"/>
      <c r="BI62" s="142"/>
    </row>
    <row r="63" spans="5:61" x14ac:dyDescent="0.25">
      <c r="E63" s="123"/>
      <c r="O63" s="141"/>
      <c r="P63" s="141"/>
      <c r="R63" s="142"/>
      <c r="Y63" s="141"/>
      <c r="AA63" s="141"/>
      <c r="AC63" s="141"/>
      <c r="AO63" s="141"/>
      <c r="AP63" s="141"/>
      <c r="AQ63" s="141"/>
      <c r="AR63" s="141"/>
      <c r="AS63" s="141"/>
      <c r="AT63" s="141"/>
      <c r="AU63" s="141"/>
      <c r="AX63" s="141"/>
      <c r="AY63" s="141"/>
      <c r="BI63" s="142"/>
    </row>
    <row r="64" spans="5:61" x14ac:dyDescent="0.25">
      <c r="E64" s="123"/>
      <c r="O64" s="141"/>
      <c r="P64" s="141"/>
      <c r="R64" s="142"/>
      <c r="Y64" s="141"/>
      <c r="AA64" s="141"/>
      <c r="AC64" s="141"/>
      <c r="AO64" s="141"/>
      <c r="AP64" s="141"/>
      <c r="AQ64" s="141"/>
      <c r="AR64" s="141"/>
      <c r="AS64" s="141"/>
      <c r="AT64" s="141"/>
      <c r="AU64" s="141"/>
      <c r="AY64" s="141"/>
      <c r="BI64" s="142"/>
    </row>
    <row r="65" spans="5:64" x14ac:dyDescent="0.25">
      <c r="E65" s="123"/>
      <c r="O65" s="141"/>
      <c r="P65" s="141"/>
      <c r="R65" s="142"/>
      <c r="Y65" s="141"/>
      <c r="AA65" s="141"/>
      <c r="AC65" s="141"/>
      <c r="AO65" s="141"/>
      <c r="AP65" s="141"/>
      <c r="AQ65" s="141"/>
      <c r="AR65" s="141"/>
      <c r="AS65" s="141"/>
      <c r="AT65" s="141"/>
      <c r="AU65" s="141"/>
      <c r="AY65" s="141"/>
      <c r="BI65" s="142"/>
      <c r="BL65" s="122"/>
    </row>
    <row r="66" spans="5:64" x14ac:dyDescent="0.25">
      <c r="E66" s="123"/>
      <c r="O66" s="141"/>
      <c r="P66" s="141"/>
      <c r="R66" s="142"/>
      <c r="Y66" s="141"/>
      <c r="AA66" s="141"/>
      <c r="AC66" s="141"/>
      <c r="AO66" s="141"/>
      <c r="AP66" s="141"/>
      <c r="AQ66" s="141"/>
      <c r="AR66" s="141"/>
      <c r="AS66" s="141"/>
      <c r="AT66" s="141"/>
      <c r="AU66" s="141"/>
      <c r="AY66" s="141"/>
      <c r="BI66" s="142"/>
      <c r="BL66" s="122"/>
    </row>
    <row r="67" spans="5:64" x14ac:dyDescent="0.25">
      <c r="E67" s="123"/>
      <c r="O67" s="141"/>
      <c r="P67" s="141"/>
      <c r="R67" s="142"/>
      <c r="Y67" s="141"/>
      <c r="AA67" s="141"/>
      <c r="AC67" s="141"/>
      <c r="AO67" s="141"/>
      <c r="AP67" s="141"/>
      <c r="AQ67" s="141"/>
      <c r="AR67" s="141"/>
      <c r="AS67" s="141"/>
      <c r="AT67" s="141"/>
      <c r="AU67" s="141"/>
      <c r="AX67" s="141"/>
      <c r="AY67" s="141"/>
      <c r="BI67" s="142"/>
      <c r="BL67" s="122"/>
    </row>
    <row r="68" spans="5:64" x14ac:dyDescent="0.25">
      <c r="E68" s="123"/>
      <c r="O68" s="141"/>
      <c r="P68" s="141"/>
      <c r="R68" s="142"/>
      <c r="Y68" s="141"/>
      <c r="AA68" s="141"/>
      <c r="AC68" s="141"/>
      <c r="AO68" s="141"/>
      <c r="AP68" s="141"/>
      <c r="AQ68" s="141"/>
      <c r="AR68" s="141"/>
      <c r="AS68" s="141"/>
      <c r="AT68" s="141"/>
      <c r="AU68" s="141"/>
      <c r="AY68" s="141"/>
      <c r="BC68" s="141"/>
      <c r="BI68" s="142"/>
      <c r="BL68" s="122"/>
    </row>
    <row r="69" spans="5:64" x14ac:dyDescent="0.25">
      <c r="E69" s="123"/>
      <c r="O69" s="141"/>
      <c r="P69" s="141"/>
      <c r="R69" s="142"/>
      <c r="Y69" s="141"/>
      <c r="AA69" s="141"/>
      <c r="AC69" s="141"/>
      <c r="AO69" s="141"/>
      <c r="AP69" s="141"/>
      <c r="AQ69" s="141"/>
      <c r="AR69" s="141"/>
      <c r="AS69" s="141"/>
      <c r="AT69" s="141"/>
      <c r="AU69" s="141"/>
      <c r="AX69" s="141"/>
      <c r="AY69" s="141"/>
      <c r="BI69" s="142"/>
      <c r="BL69" s="122"/>
    </row>
    <row r="70" spans="5:64" x14ac:dyDescent="0.25">
      <c r="E70" s="123"/>
      <c r="O70" s="141"/>
      <c r="P70" s="141"/>
      <c r="R70" s="142"/>
      <c r="AO70" s="141"/>
      <c r="AP70" s="141"/>
      <c r="AQ70" s="141"/>
      <c r="AR70" s="141"/>
      <c r="AS70" s="141"/>
      <c r="AT70" s="141"/>
      <c r="AU70" s="141"/>
      <c r="AY70" s="141"/>
      <c r="BI70" s="142"/>
      <c r="BL70" s="122"/>
    </row>
    <row r="71" spans="5:64" x14ac:dyDescent="0.25">
      <c r="E71" s="123"/>
      <c r="O71" s="141"/>
      <c r="P71" s="141"/>
      <c r="R71" s="142"/>
      <c r="Y71" s="141"/>
      <c r="AA71" s="141"/>
      <c r="AC71" s="141"/>
      <c r="AO71" s="141"/>
      <c r="AP71" s="141"/>
      <c r="AQ71" s="141"/>
      <c r="AR71" s="141"/>
      <c r="AS71" s="141"/>
      <c r="AT71" s="141"/>
      <c r="AU71" s="141"/>
      <c r="AX71" s="141"/>
      <c r="AY71" s="141"/>
      <c r="BI71" s="142"/>
      <c r="BL71" s="122"/>
    </row>
    <row r="72" spans="5:64" x14ac:dyDescent="0.25">
      <c r="E72" s="123"/>
      <c r="O72" s="141"/>
      <c r="P72" s="141"/>
      <c r="R72" s="142"/>
      <c r="Y72" s="141"/>
      <c r="AO72" s="141"/>
      <c r="AP72" s="141"/>
      <c r="AQ72" s="141"/>
      <c r="AR72" s="141"/>
      <c r="AS72" s="141"/>
      <c r="AT72" s="141"/>
      <c r="AU72" s="141"/>
      <c r="AX72" s="141"/>
      <c r="AY72" s="141"/>
      <c r="BI72" s="142"/>
      <c r="BL72" s="122"/>
    </row>
    <row r="73" spans="5:64" x14ac:dyDescent="0.25">
      <c r="E73" s="123"/>
      <c r="O73" s="141"/>
      <c r="P73" s="141"/>
      <c r="R73" s="142"/>
      <c r="Y73" s="141"/>
      <c r="AA73" s="141"/>
      <c r="AC73" s="141"/>
      <c r="AO73" s="141"/>
      <c r="AP73" s="141"/>
      <c r="AQ73" s="141"/>
      <c r="AR73" s="141"/>
      <c r="AS73" s="141"/>
      <c r="AT73" s="141"/>
      <c r="AU73" s="141"/>
      <c r="AX73" s="141"/>
      <c r="AY73" s="141"/>
      <c r="BC73" s="141"/>
      <c r="BI73" s="142"/>
      <c r="BL73" s="122"/>
    </row>
    <row r="74" spans="5:64" x14ac:dyDescent="0.25">
      <c r="E74" s="123"/>
      <c r="O74" s="141"/>
      <c r="P74" s="141"/>
      <c r="R74" s="142"/>
      <c r="AO74" s="141"/>
      <c r="AP74" s="141"/>
      <c r="AQ74" s="141"/>
      <c r="AR74" s="141"/>
      <c r="AS74" s="141"/>
      <c r="AT74" s="141"/>
      <c r="AU74" s="141"/>
      <c r="AY74" s="141"/>
      <c r="BI74" s="142"/>
      <c r="BL74" s="122"/>
    </row>
    <row r="75" spans="5:64" x14ac:dyDescent="0.25">
      <c r="E75" s="123"/>
      <c r="R75" s="142"/>
      <c r="Y75" s="141"/>
      <c r="AA75" s="141"/>
      <c r="AC75" s="141"/>
      <c r="AO75" s="141"/>
      <c r="AP75" s="141"/>
      <c r="AQ75" s="141"/>
      <c r="AR75" s="141"/>
      <c r="AS75" s="141"/>
      <c r="AT75" s="141"/>
      <c r="AU75" s="141"/>
      <c r="AY75" s="141"/>
      <c r="BI75" s="142"/>
      <c r="BL75" s="122"/>
    </row>
    <row r="76" spans="5:64" x14ac:dyDescent="0.25">
      <c r="E76" s="123"/>
      <c r="O76" s="141"/>
      <c r="P76" s="141"/>
      <c r="R76" s="142"/>
      <c r="Y76" s="141"/>
      <c r="AA76" s="141"/>
      <c r="AC76" s="141"/>
      <c r="AO76" s="141"/>
      <c r="AP76" s="141"/>
      <c r="AQ76" s="141"/>
      <c r="AR76" s="141"/>
      <c r="AS76" s="141"/>
      <c r="AT76" s="141"/>
      <c r="AU76" s="141"/>
      <c r="AX76" s="141"/>
      <c r="AY76" s="141"/>
      <c r="BI76" s="142"/>
      <c r="BL76" s="122"/>
    </row>
    <row r="77" spans="5:64" x14ac:dyDescent="0.25">
      <c r="E77" s="123"/>
      <c r="O77" s="141"/>
      <c r="P77" s="141"/>
      <c r="R77" s="142"/>
      <c r="AO77" s="141"/>
      <c r="AP77" s="141"/>
      <c r="AQ77" s="141"/>
      <c r="AR77" s="141"/>
      <c r="AS77" s="141"/>
      <c r="AT77" s="141"/>
      <c r="AU77" s="141"/>
      <c r="AY77" s="141"/>
      <c r="BI77" s="142"/>
      <c r="BL77" s="122"/>
    </row>
    <row r="78" spans="5:64" x14ac:dyDescent="0.25">
      <c r="E78" s="123"/>
      <c r="O78" s="141"/>
      <c r="P78" s="141"/>
      <c r="R78" s="142"/>
      <c r="Y78" s="141"/>
      <c r="AA78" s="141"/>
      <c r="AC78" s="141"/>
      <c r="AO78" s="141"/>
      <c r="AP78" s="141"/>
      <c r="AQ78" s="141"/>
      <c r="AR78" s="141"/>
      <c r="AS78" s="141"/>
      <c r="AT78" s="141"/>
      <c r="AU78" s="141"/>
      <c r="AY78" s="141"/>
      <c r="BI78" s="142"/>
      <c r="BL78" s="122"/>
    </row>
    <row r="79" spans="5:64" x14ac:dyDescent="0.25">
      <c r="E79" s="123"/>
      <c r="O79" s="141"/>
      <c r="P79" s="141"/>
      <c r="R79" s="142"/>
      <c r="Y79" s="141"/>
      <c r="AA79" s="141"/>
      <c r="AC79" s="141"/>
      <c r="AO79" s="141"/>
      <c r="AP79" s="141"/>
      <c r="AQ79" s="141"/>
      <c r="AR79" s="141"/>
      <c r="AS79" s="141"/>
      <c r="AT79" s="141"/>
      <c r="AU79" s="141"/>
      <c r="AX79" s="141"/>
      <c r="AY79" s="141"/>
      <c r="BI79" s="142"/>
      <c r="BL79" s="122"/>
    </row>
    <row r="80" spans="5:64" x14ac:dyDescent="0.25">
      <c r="E80" s="123"/>
      <c r="O80" s="141"/>
      <c r="P80" s="141"/>
      <c r="R80" s="142"/>
      <c r="Y80" s="141"/>
      <c r="AA80" s="141"/>
      <c r="AC80" s="141"/>
      <c r="AO80" s="141"/>
      <c r="AP80" s="141"/>
      <c r="AQ80" s="141"/>
      <c r="AR80" s="141"/>
      <c r="AS80" s="141"/>
      <c r="AT80" s="141"/>
      <c r="AU80" s="141"/>
      <c r="AY80" s="141"/>
      <c r="BI80" s="142"/>
      <c r="BL80" s="122"/>
    </row>
    <row r="81" spans="5:64" x14ac:dyDescent="0.25">
      <c r="E81" s="123"/>
      <c r="O81" s="141"/>
      <c r="P81" s="141"/>
      <c r="R81" s="142"/>
      <c r="Y81" s="141"/>
      <c r="AA81" s="141"/>
      <c r="AC81" s="141"/>
      <c r="AO81" s="141"/>
      <c r="AP81" s="141"/>
      <c r="AQ81" s="141"/>
      <c r="AR81" s="141"/>
      <c r="AS81" s="141"/>
      <c r="AT81" s="141"/>
      <c r="AU81" s="141"/>
      <c r="AY81" s="141"/>
      <c r="BI81" s="142"/>
      <c r="BL81" s="122"/>
    </row>
    <row r="82" spans="5:64" x14ac:dyDescent="0.25">
      <c r="E82" s="123"/>
      <c r="O82" s="141"/>
      <c r="P82" s="141"/>
      <c r="R82" s="142"/>
      <c r="Y82" s="141"/>
      <c r="AO82" s="141"/>
      <c r="AP82" s="141"/>
      <c r="AQ82" s="141"/>
      <c r="AR82" s="141"/>
      <c r="AS82" s="141"/>
      <c r="AT82" s="141"/>
      <c r="AU82" s="141"/>
      <c r="AX82" s="141"/>
      <c r="AY82" s="141"/>
      <c r="BI82" s="142"/>
      <c r="BL82" s="122"/>
    </row>
    <row r="83" spans="5:64" x14ac:dyDescent="0.25">
      <c r="E83" s="123"/>
      <c r="O83" s="141"/>
      <c r="P83" s="141"/>
      <c r="R83" s="142"/>
      <c r="Y83" s="141"/>
      <c r="AA83" s="141"/>
      <c r="AC83" s="141"/>
      <c r="AO83" s="141"/>
      <c r="AP83" s="141"/>
      <c r="AQ83" s="141"/>
      <c r="AR83" s="141"/>
      <c r="AS83" s="141"/>
      <c r="AT83" s="141"/>
      <c r="AU83" s="141"/>
      <c r="AY83" s="141"/>
      <c r="BI83" s="142"/>
      <c r="BL83" s="122"/>
    </row>
    <row r="84" spans="5:64" x14ac:dyDescent="0.25">
      <c r="E84" s="123"/>
      <c r="O84" s="141"/>
      <c r="P84" s="141"/>
      <c r="R84" s="142"/>
      <c r="Y84" s="141"/>
      <c r="AA84" s="141"/>
      <c r="AC84" s="141"/>
      <c r="AO84" s="141"/>
      <c r="AP84" s="141"/>
      <c r="AQ84" s="141"/>
      <c r="AR84" s="141"/>
      <c r="AS84" s="141"/>
      <c r="AT84" s="141"/>
      <c r="AU84" s="141"/>
      <c r="AY84" s="141"/>
      <c r="BI84" s="142"/>
      <c r="BL84" s="122"/>
    </row>
    <row r="85" spans="5:64" x14ac:dyDescent="0.25">
      <c r="E85" s="123"/>
      <c r="O85" s="141"/>
      <c r="P85" s="141"/>
      <c r="R85" s="142"/>
      <c r="Y85" s="141"/>
      <c r="AO85" s="141"/>
      <c r="AP85" s="141"/>
      <c r="AQ85" s="141"/>
      <c r="AR85" s="141"/>
      <c r="AS85" s="141"/>
      <c r="AT85" s="141"/>
      <c r="AU85" s="141"/>
      <c r="AY85" s="141"/>
      <c r="BI85" s="142"/>
      <c r="BL85" s="122"/>
    </row>
    <row r="86" spans="5:64" x14ac:dyDescent="0.25">
      <c r="E86" s="123"/>
      <c r="O86" s="141"/>
      <c r="P86" s="141"/>
      <c r="R86" s="142"/>
      <c r="Y86" s="141"/>
      <c r="AA86" s="141"/>
      <c r="AC86" s="141"/>
      <c r="AO86" s="141"/>
      <c r="AP86" s="141"/>
      <c r="AQ86" s="141"/>
      <c r="AR86" s="141"/>
      <c r="AS86" s="141"/>
      <c r="AT86" s="141"/>
      <c r="AU86" s="141"/>
      <c r="AX86" s="141"/>
      <c r="AY86" s="141"/>
      <c r="BI86" s="142"/>
      <c r="BL86" s="122"/>
    </row>
    <row r="87" spans="5:64" x14ac:dyDescent="0.25">
      <c r="E87" s="123"/>
      <c r="O87" s="141"/>
      <c r="P87" s="141"/>
      <c r="R87" s="142"/>
      <c r="Y87" s="141"/>
      <c r="AA87" s="141"/>
      <c r="AC87" s="141"/>
      <c r="AO87" s="141"/>
      <c r="AP87" s="141"/>
      <c r="AQ87" s="141"/>
      <c r="AR87" s="141"/>
      <c r="AS87" s="141"/>
      <c r="AT87" s="141"/>
      <c r="AU87" s="141"/>
      <c r="AY87" s="141"/>
      <c r="BI87" s="142"/>
      <c r="BL87" s="122"/>
    </row>
    <row r="88" spans="5:64" x14ac:dyDescent="0.25">
      <c r="E88" s="123"/>
      <c r="O88" s="141"/>
      <c r="P88" s="141"/>
      <c r="R88" s="142"/>
      <c r="Y88" s="141"/>
      <c r="AA88" s="141"/>
      <c r="AC88" s="141"/>
      <c r="AO88" s="141"/>
      <c r="AP88" s="141"/>
      <c r="AQ88" s="141"/>
      <c r="AR88" s="141"/>
      <c r="AS88" s="141"/>
      <c r="AT88" s="141"/>
      <c r="AU88" s="141"/>
      <c r="AX88" s="141"/>
      <c r="AY88" s="141"/>
      <c r="BI88" s="142"/>
      <c r="BL88" s="122"/>
    </row>
    <row r="89" spans="5:64" x14ac:dyDescent="0.25">
      <c r="E89" s="123"/>
      <c r="O89" s="141"/>
      <c r="P89" s="141"/>
      <c r="R89" s="142"/>
      <c r="Y89" s="141"/>
      <c r="AA89" s="141"/>
      <c r="AC89" s="141"/>
      <c r="AO89" s="141"/>
      <c r="AP89" s="141"/>
      <c r="AQ89" s="141"/>
      <c r="AR89" s="141"/>
      <c r="AS89" s="141"/>
      <c r="AT89" s="141"/>
      <c r="AU89" s="141"/>
      <c r="AY89" s="141"/>
      <c r="BI89" s="142"/>
      <c r="BL89" s="122"/>
    </row>
    <row r="90" spans="5:64" x14ac:dyDescent="0.25">
      <c r="E90" s="123"/>
      <c r="O90" s="141"/>
      <c r="P90" s="141"/>
      <c r="R90" s="142"/>
      <c r="Y90" s="141"/>
      <c r="AA90" s="141"/>
      <c r="AC90" s="141"/>
      <c r="AO90" s="141"/>
      <c r="AP90" s="141"/>
      <c r="AQ90" s="141"/>
      <c r="AR90" s="141"/>
      <c r="AS90" s="141"/>
      <c r="AT90" s="141"/>
      <c r="AU90" s="141"/>
      <c r="AY90" s="141"/>
      <c r="BI90" s="142"/>
      <c r="BL90" s="122"/>
    </row>
    <row r="91" spans="5:64" x14ac:dyDescent="0.25">
      <c r="E91" s="123"/>
      <c r="O91" s="141"/>
      <c r="P91" s="141"/>
      <c r="R91" s="142"/>
      <c r="Y91" s="141"/>
      <c r="AA91" s="141"/>
      <c r="AC91" s="141"/>
      <c r="AO91" s="141"/>
      <c r="AP91" s="141"/>
      <c r="AQ91" s="141"/>
      <c r="AR91" s="141"/>
      <c r="AS91" s="141"/>
      <c r="AT91" s="141"/>
      <c r="AU91" s="141"/>
      <c r="AY91" s="141"/>
      <c r="BI91" s="142"/>
      <c r="BL91" s="122"/>
    </row>
    <row r="92" spans="5:64" x14ac:dyDescent="0.25">
      <c r="E92" s="123"/>
      <c r="O92" s="141"/>
      <c r="P92" s="141"/>
      <c r="R92" s="142"/>
      <c r="Y92" s="141"/>
      <c r="AA92" s="141"/>
      <c r="AC92" s="141"/>
      <c r="AO92" s="141"/>
      <c r="AP92" s="141"/>
      <c r="AQ92" s="141"/>
      <c r="AR92" s="141"/>
      <c r="AS92" s="141"/>
      <c r="AT92" s="141"/>
      <c r="AU92" s="141"/>
      <c r="AY92" s="141"/>
      <c r="BI92" s="142"/>
      <c r="BL92" s="122"/>
    </row>
    <row r="93" spans="5:64" x14ac:dyDescent="0.25">
      <c r="E93" s="123"/>
      <c r="O93" s="141"/>
      <c r="P93" s="141"/>
      <c r="R93" s="142"/>
      <c r="Y93" s="141"/>
      <c r="AA93" s="141"/>
      <c r="AC93" s="141"/>
      <c r="AO93" s="141"/>
      <c r="AP93" s="141"/>
      <c r="AQ93" s="141"/>
      <c r="AR93" s="141"/>
      <c r="AS93" s="141"/>
      <c r="AT93" s="141"/>
      <c r="AU93" s="141"/>
      <c r="AX93" s="141"/>
      <c r="AY93" s="141"/>
      <c r="BI93" s="142"/>
      <c r="BL93" s="122"/>
    </row>
    <row r="94" spans="5:64" x14ac:dyDescent="0.25">
      <c r="BL94" s="122"/>
    </row>
    <row r="95" spans="5:64" x14ac:dyDescent="0.25">
      <c r="BL95" s="122"/>
    </row>
    <row r="96" spans="5:64" x14ac:dyDescent="0.25">
      <c r="BL96" s="122"/>
    </row>
    <row r="97" spans="62:64" x14ac:dyDescent="0.25">
      <c r="BJ97" s="122"/>
      <c r="BK97" s="122"/>
      <c r="BL97" s="122"/>
    </row>
    <row r="98" spans="62:64" x14ac:dyDescent="0.25">
      <c r="BJ98" s="122"/>
      <c r="BK98" s="122"/>
      <c r="BL98" s="122"/>
    </row>
    <row r="99" spans="62:64" x14ac:dyDescent="0.25">
      <c r="BJ99" s="122"/>
      <c r="BK99" s="122"/>
      <c r="BL99" s="122"/>
    </row>
    <row r="100" spans="62:64" x14ac:dyDescent="0.25">
      <c r="BJ100" s="122"/>
      <c r="BK100" s="122"/>
      <c r="BL100" s="122"/>
    </row>
    <row r="101" spans="62:64" x14ac:dyDescent="0.25">
      <c r="BJ101" s="122"/>
      <c r="BK101" s="122"/>
      <c r="BL101" s="122"/>
    </row>
    <row r="102" spans="62:64" x14ac:dyDescent="0.25">
      <c r="BJ102" s="122"/>
      <c r="BK102" s="122"/>
      <c r="BL102" s="122"/>
    </row>
    <row r="103" spans="62:64" x14ac:dyDescent="0.25">
      <c r="BJ103" s="122"/>
      <c r="BK103" s="122"/>
      <c r="BL103" s="122"/>
    </row>
    <row r="104" spans="62:64" x14ac:dyDescent="0.25">
      <c r="BJ104" s="122"/>
      <c r="BK104" s="122"/>
      <c r="BL104" s="122"/>
    </row>
    <row r="105" spans="62:64" x14ac:dyDescent="0.25">
      <c r="BJ105" s="122"/>
      <c r="BK105" s="122"/>
      <c r="BL105" s="122"/>
    </row>
    <row r="106" spans="62:64" x14ac:dyDescent="0.25">
      <c r="BJ106" s="122"/>
      <c r="BK106" s="122"/>
      <c r="BL106" s="122"/>
    </row>
    <row r="107" spans="62:64" x14ac:dyDescent="0.25">
      <c r="BJ107" s="122"/>
      <c r="BK107" s="122"/>
      <c r="BL107" s="122"/>
    </row>
    <row r="108" spans="62:64" x14ac:dyDescent="0.25">
      <c r="BJ108" s="122"/>
      <c r="BK108" s="122"/>
      <c r="BL108" s="122"/>
    </row>
    <row r="109" spans="62:64" x14ac:dyDescent="0.25">
      <c r="BJ109" s="122"/>
      <c r="BK109" s="122"/>
      <c r="BL109" s="122"/>
    </row>
    <row r="110" spans="62:64" x14ac:dyDescent="0.25">
      <c r="BJ110" s="122"/>
      <c r="BK110" s="122"/>
      <c r="BL110" s="122"/>
    </row>
    <row r="111" spans="62:64" x14ac:dyDescent="0.25">
      <c r="BJ111" s="122"/>
      <c r="BK111" s="122"/>
      <c r="BL111" s="122"/>
    </row>
    <row r="112" spans="62:64" x14ac:dyDescent="0.25">
      <c r="BJ112" s="122"/>
      <c r="BK112" s="122"/>
      <c r="BL112" s="122"/>
    </row>
    <row r="113" spans="62:64" x14ac:dyDescent="0.25">
      <c r="BJ113" s="122"/>
      <c r="BK113" s="122"/>
      <c r="BL113" s="122"/>
    </row>
    <row r="114" spans="62:64" x14ac:dyDescent="0.25">
      <c r="BJ114" s="122"/>
      <c r="BK114" s="122"/>
      <c r="BL114" s="122"/>
    </row>
    <row r="115" spans="62:64" x14ac:dyDescent="0.25">
      <c r="BJ115" s="122"/>
      <c r="BK115" s="122"/>
      <c r="BL115" s="122"/>
    </row>
    <row r="116" spans="62:64" x14ac:dyDescent="0.25">
      <c r="BJ116" s="122"/>
      <c r="BK116" s="122"/>
      <c r="BL116" s="122"/>
    </row>
    <row r="117" spans="62:64" x14ac:dyDescent="0.25">
      <c r="BJ117" s="122"/>
      <c r="BK117" s="122"/>
      <c r="BL117" s="122"/>
    </row>
    <row r="118" spans="62:64" x14ac:dyDescent="0.25">
      <c r="BJ118" s="122"/>
      <c r="BK118" s="122"/>
      <c r="BL118" s="122"/>
    </row>
    <row r="119" spans="62:64" x14ac:dyDescent="0.25">
      <c r="BJ119" s="122"/>
      <c r="BK119" s="122"/>
      <c r="BL119" s="122"/>
    </row>
    <row r="120" spans="62:64" x14ac:dyDescent="0.25">
      <c r="BJ120" s="122"/>
      <c r="BK120" s="122"/>
      <c r="BL120" s="122"/>
    </row>
    <row r="121" spans="62:64" x14ac:dyDescent="0.25">
      <c r="BJ121" s="122"/>
      <c r="BK121" s="122"/>
      <c r="BL121" s="122"/>
    </row>
    <row r="122" spans="62:64" x14ac:dyDescent="0.25">
      <c r="BJ122" s="122"/>
      <c r="BK122" s="122"/>
      <c r="BL122" s="122"/>
    </row>
    <row r="123" spans="62:64" x14ac:dyDescent="0.25">
      <c r="BJ123" s="122"/>
      <c r="BK123" s="122"/>
      <c r="BL123" s="122"/>
    </row>
    <row r="124" spans="62:64" x14ac:dyDescent="0.25">
      <c r="BJ124" s="122"/>
      <c r="BK124" s="122"/>
      <c r="BL124" s="122"/>
    </row>
    <row r="125" spans="62:64" x14ac:dyDescent="0.25">
      <c r="BJ125" s="122"/>
      <c r="BK125" s="122"/>
      <c r="BL125" s="122"/>
    </row>
    <row r="126" spans="62:64" x14ac:dyDescent="0.25">
      <c r="BJ126" s="122"/>
      <c r="BK126" s="122"/>
      <c r="BL126" s="122"/>
    </row>
    <row r="127" spans="62:64" x14ac:dyDescent="0.25">
      <c r="BJ127" s="122"/>
      <c r="BK127" s="122"/>
      <c r="BL127" s="122"/>
    </row>
    <row r="128" spans="62:64" x14ac:dyDescent="0.25">
      <c r="BJ128" s="122"/>
      <c r="BK128" s="122"/>
      <c r="BL128" s="122"/>
    </row>
    <row r="129" spans="62:64" x14ac:dyDescent="0.25">
      <c r="BJ129" s="122"/>
      <c r="BK129" s="122"/>
      <c r="BL129" s="122"/>
    </row>
    <row r="130" spans="62:64" x14ac:dyDescent="0.25">
      <c r="BJ130" s="122"/>
      <c r="BK130" s="122"/>
      <c r="BL130" s="122"/>
    </row>
    <row r="131" spans="62:64" x14ac:dyDescent="0.25">
      <c r="BJ131" s="122"/>
      <c r="BK131" s="122"/>
      <c r="BL131" s="122"/>
    </row>
    <row r="132" spans="62:64" x14ac:dyDescent="0.25">
      <c r="BJ132" s="122"/>
      <c r="BK132" s="122"/>
      <c r="BL132" s="122"/>
    </row>
    <row r="133" spans="62:64" x14ac:dyDescent="0.25">
      <c r="BJ133" s="122"/>
      <c r="BK133" s="122"/>
      <c r="BL133" s="122"/>
    </row>
    <row r="134" spans="62:64" x14ac:dyDescent="0.25">
      <c r="BJ134" s="122"/>
      <c r="BK134" s="122"/>
      <c r="BL134" s="122"/>
    </row>
    <row r="135" spans="62:64" x14ac:dyDescent="0.25">
      <c r="BJ135" s="122"/>
      <c r="BK135" s="122"/>
      <c r="BL135" s="122"/>
    </row>
    <row r="136" spans="62:64" x14ac:dyDescent="0.25">
      <c r="BJ136" s="122"/>
      <c r="BK136" s="122"/>
      <c r="BL136" s="122"/>
    </row>
    <row r="137" spans="62:64" x14ac:dyDescent="0.25">
      <c r="BJ137" s="122"/>
      <c r="BK137" s="122"/>
      <c r="BL137" s="122"/>
    </row>
    <row r="138" spans="62:64" x14ac:dyDescent="0.25">
      <c r="BJ138" s="122"/>
      <c r="BK138" s="122"/>
      <c r="BL138" s="122"/>
    </row>
    <row r="139" spans="62:64" x14ac:dyDescent="0.25">
      <c r="BJ139" s="122"/>
      <c r="BK139" s="122"/>
      <c r="BL139" s="122"/>
    </row>
    <row r="140" spans="62:64" x14ac:dyDescent="0.25">
      <c r="BJ140" s="122"/>
      <c r="BK140" s="122"/>
      <c r="BL140" s="122"/>
    </row>
    <row r="141" spans="62:64" x14ac:dyDescent="0.25">
      <c r="BJ141" s="122"/>
      <c r="BK141" s="122"/>
      <c r="BL141" s="122"/>
    </row>
    <row r="142" spans="62:64" x14ac:dyDescent="0.25">
      <c r="BJ142" s="122"/>
      <c r="BK142" s="122"/>
      <c r="BL142" s="122"/>
    </row>
    <row r="143" spans="62:64" x14ac:dyDescent="0.25">
      <c r="BJ143" s="122"/>
      <c r="BK143" s="122"/>
      <c r="BL143" s="122"/>
    </row>
    <row r="144" spans="62:64" x14ac:dyDescent="0.25">
      <c r="BJ144" s="122"/>
      <c r="BK144" s="122"/>
      <c r="BL144" s="122"/>
    </row>
    <row r="145" spans="62:64" x14ac:dyDescent="0.25">
      <c r="BJ145" s="122"/>
      <c r="BK145" s="122"/>
      <c r="BL145" s="122"/>
    </row>
    <row r="146" spans="62:64" x14ac:dyDescent="0.25">
      <c r="BJ146" s="122"/>
      <c r="BK146" s="122"/>
      <c r="BL146" s="122"/>
    </row>
    <row r="147" spans="62:64" x14ac:dyDescent="0.25">
      <c r="BJ147" s="122"/>
      <c r="BK147" s="122"/>
      <c r="BL147" s="122"/>
    </row>
    <row r="148" spans="62:64" x14ac:dyDescent="0.25">
      <c r="BJ148" s="122"/>
      <c r="BK148" s="122"/>
      <c r="BL148" s="122"/>
    </row>
    <row r="149" spans="62:64" x14ac:dyDescent="0.25">
      <c r="BJ149" s="122"/>
      <c r="BK149" s="122"/>
      <c r="BL149" s="122"/>
    </row>
    <row r="150" spans="62:64" x14ac:dyDescent="0.25">
      <c r="BJ150" s="122"/>
      <c r="BK150" s="122"/>
      <c r="BL150" s="122"/>
    </row>
    <row r="151" spans="62:64" x14ac:dyDescent="0.25">
      <c r="BJ151" s="122"/>
      <c r="BK151" s="122"/>
      <c r="BL151" s="122"/>
    </row>
    <row r="152" spans="62:64" x14ac:dyDescent="0.25">
      <c r="BJ152" s="122"/>
      <c r="BK152" s="122"/>
      <c r="BL152" s="122"/>
    </row>
    <row r="153" spans="62:64" x14ac:dyDescent="0.25">
      <c r="BJ153" s="122"/>
      <c r="BK153" s="122"/>
      <c r="BL153" s="122"/>
    </row>
    <row r="154" spans="62:64" x14ac:dyDescent="0.25">
      <c r="BJ154" s="122"/>
      <c r="BK154" s="122"/>
      <c r="BL154" s="122"/>
    </row>
    <row r="155" spans="62:64" x14ac:dyDescent="0.25">
      <c r="BJ155" s="122"/>
      <c r="BK155" s="122"/>
      <c r="BL155" s="122"/>
    </row>
    <row r="156" spans="62:64" x14ac:dyDescent="0.25">
      <c r="BJ156" s="122"/>
      <c r="BK156" s="122"/>
      <c r="BL156" s="122"/>
    </row>
    <row r="157" spans="62:64" x14ac:dyDescent="0.25">
      <c r="BJ157" s="122"/>
      <c r="BK157" s="122"/>
      <c r="BL157" s="122"/>
    </row>
    <row r="158" spans="62:64" x14ac:dyDescent="0.25">
      <c r="BJ158" s="122"/>
      <c r="BK158" s="122"/>
      <c r="BL158" s="122"/>
    </row>
    <row r="159" spans="62:64" x14ac:dyDescent="0.25">
      <c r="BJ159" s="122"/>
      <c r="BK159" s="122"/>
      <c r="BL159" s="122"/>
    </row>
    <row r="160" spans="62:64" x14ac:dyDescent="0.25">
      <c r="BJ160" s="122"/>
      <c r="BK160" s="122"/>
      <c r="BL160" s="122"/>
    </row>
    <row r="161" spans="62:64" x14ac:dyDescent="0.25">
      <c r="BJ161" s="122"/>
      <c r="BK161" s="122"/>
      <c r="BL161" s="122"/>
    </row>
    <row r="162" spans="62:64" x14ac:dyDescent="0.25">
      <c r="BJ162" s="122"/>
      <c r="BK162" s="122"/>
      <c r="BL162" s="122"/>
    </row>
    <row r="163" spans="62:64" x14ac:dyDescent="0.25">
      <c r="BJ163" s="122"/>
      <c r="BK163" s="122"/>
      <c r="BL163" s="122"/>
    </row>
    <row r="164" spans="62:64" x14ac:dyDescent="0.25">
      <c r="BJ164" s="122"/>
      <c r="BK164" s="122"/>
      <c r="BL164" s="122"/>
    </row>
    <row r="165" spans="62:64" x14ac:dyDescent="0.25">
      <c r="BJ165" s="122"/>
      <c r="BK165" s="122"/>
      <c r="BL165" s="122"/>
    </row>
    <row r="166" spans="62:64" x14ac:dyDescent="0.25">
      <c r="BJ166" s="122"/>
      <c r="BK166" s="122"/>
      <c r="BL166" s="122"/>
    </row>
    <row r="167" spans="62:64" x14ac:dyDescent="0.25">
      <c r="BJ167" s="122"/>
      <c r="BK167" s="122"/>
      <c r="BL167" s="122"/>
    </row>
    <row r="168" spans="62:64" x14ac:dyDescent="0.25">
      <c r="BJ168" s="122"/>
      <c r="BK168" s="122"/>
      <c r="BL168" s="122"/>
    </row>
    <row r="169" spans="62:64" x14ac:dyDescent="0.25">
      <c r="BJ169" s="122"/>
      <c r="BK169" s="122"/>
      <c r="BL169" s="122"/>
    </row>
    <row r="170" spans="62:64" x14ac:dyDescent="0.25">
      <c r="BJ170" s="122"/>
      <c r="BK170" s="122"/>
      <c r="BL170" s="122"/>
    </row>
    <row r="171" spans="62:64" x14ac:dyDescent="0.25">
      <c r="BJ171" s="122"/>
      <c r="BK171" s="122"/>
      <c r="BL171" s="122"/>
    </row>
    <row r="172" spans="62:64" x14ac:dyDescent="0.25">
      <c r="BJ172" s="122"/>
      <c r="BK172" s="122"/>
      <c r="BL172" s="122"/>
    </row>
    <row r="173" spans="62:64" x14ac:dyDescent="0.25">
      <c r="BJ173" s="122"/>
      <c r="BK173" s="122"/>
      <c r="BL173" s="122"/>
    </row>
    <row r="174" spans="62:64" x14ac:dyDescent="0.25">
      <c r="BJ174" s="122"/>
      <c r="BK174" s="122"/>
      <c r="BL174" s="122"/>
    </row>
    <row r="175" spans="62:64" x14ac:dyDescent="0.25">
      <c r="BJ175" s="122"/>
      <c r="BK175" s="122"/>
      <c r="BL175" s="122"/>
    </row>
    <row r="176" spans="62:64" x14ac:dyDescent="0.25">
      <c r="BJ176" s="122"/>
      <c r="BK176" s="122"/>
      <c r="BL176" s="122"/>
    </row>
    <row r="177" spans="62:64" x14ac:dyDescent="0.25">
      <c r="BJ177" s="122"/>
      <c r="BK177" s="122"/>
      <c r="BL177" s="122"/>
    </row>
    <row r="178" spans="62:64" x14ac:dyDescent="0.25">
      <c r="BJ178" s="122"/>
      <c r="BK178" s="122"/>
      <c r="BL178" s="122"/>
    </row>
    <row r="179" spans="62:64" x14ac:dyDescent="0.25">
      <c r="BJ179" s="122"/>
      <c r="BK179" s="122"/>
      <c r="BL179" s="122"/>
    </row>
    <row r="180" spans="62:64" x14ac:dyDescent="0.25">
      <c r="BJ180" s="122"/>
      <c r="BK180" s="122"/>
      <c r="BL180" s="122"/>
    </row>
    <row r="181" spans="62:64" x14ac:dyDescent="0.25">
      <c r="BJ181" s="122"/>
      <c r="BK181" s="122"/>
      <c r="BL181" s="122"/>
    </row>
    <row r="182" spans="62:64" x14ac:dyDescent="0.25">
      <c r="BJ182" s="122"/>
      <c r="BK182" s="122"/>
      <c r="BL182" s="122"/>
    </row>
    <row r="183" spans="62:64" x14ac:dyDescent="0.25">
      <c r="BJ183" s="122"/>
      <c r="BK183" s="122"/>
      <c r="BL183" s="122"/>
    </row>
    <row r="184" spans="62:64" x14ac:dyDescent="0.25">
      <c r="BJ184" s="122"/>
      <c r="BK184" s="122"/>
      <c r="BL184" s="122"/>
    </row>
    <row r="185" spans="62:64" x14ac:dyDescent="0.25">
      <c r="BJ185" s="122"/>
      <c r="BK185" s="122"/>
      <c r="BL185" s="122"/>
    </row>
    <row r="186" spans="62:64" x14ac:dyDescent="0.25">
      <c r="BJ186" s="122"/>
      <c r="BK186" s="122"/>
      <c r="BL186" s="122"/>
    </row>
    <row r="187" spans="62:64" x14ac:dyDescent="0.25">
      <c r="BJ187" s="122"/>
      <c r="BK187" s="122"/>
      <c r="BL187" s="122"/>
    </row>
    <row r="188" spans="62:64" x14ac:dyDescent="0.25">
      <c r="BJ188" s="122"/>
      <c r="BK188" s="122"/>
      <c r="BL188" s="122"/>
    </row>
    <row r="189" spans="62:64" x14ac:dyDescent="0.25">
      <c r="BJ189" s="122"/>
      <c r="BK189" s="122"/>
      <c r="BL189" s="122"/>
    </row>
    <row r="190" spans="62:64" x14ac:dyDescent="0.25">
      <c r="BJ190" s="122"/>
      <c r="BK190" s="122"/>
      <c r="BL190" s="122"/>
    </row>
    <row r="191" spans="62:64" x14ac:dyDescent="0.25">
      <c r="BJ191" s="122"/>
      <c r="BK191" s="122"/>
      <c r="BL191" s="122"/>
    </row>
    <row r="192" spans="62:64" x14ac:dyDescent="0.25">
      <c r="BJ192" s="122"/>
      <c r="BK192" s="122"/>
      <c r="BL192" s="122"/>
    </row>
    <row r="193" spans="62:64" x14ac:dyDescent="0.25">
      <c r="BJ193" s="122"/>
      <c r="BK193" s="122"/>
      <c r="BL193" s="122"/>
    </row>
    <row r="194" spans="62:64" x14ac:dyDescent="0.25">
      <c r="BJ194" s="122"/>
      <c r="BK194" s="122"/>
      <c r="BL194" s="122"/>
    </row>
    <row r="195" spans="62:64" x14ac:dyDescent="0.25">
      <c r="BJ195" s="122"/>
      <c r="BK195" s="122"/>
      <c r="BL195" s="122"/>
    </row>
    <row r="196" spans="62:64" x14ac:dyDescent="0.25">
      <c r="BJ196" s="122"/>
      <c r="BK196" s="122"/>
      <c r="BL196" s="122"/>
    </row>
    <row r="197" spans="62:64" x14ac:dyDescent="0.25">
      <c r="BJ197" s="122"/>
      <c r="BK197" s="122"/>
      <c r="BL197" s="122"/>
    </row>
    <row r="198" spans="62:64" x14ac:dyDescent="0.25">
      <c r="BJ198" s="122"/>
      <c r="BK198" s="122"/>
      <c r="BL198" s="122"/>
    </row>
    <row r="199" spans="62:64" x14ac:dyDescent="0.25">
      <c r="BJ199" s="122"/>
      <c r="BK199" s="122"/>
      <c r="BL199" s="122"/>
    </row>
    <row r="200" spans="62:64" x14ac:dyDescent="0.25">
      <c r="BJ200" s="122"/>
      <c r="BK200" s="122"/>
      <c r="BL200" s="122"/>
    </row>
    <row r="201" spans="62:64" x14ac:dyDescent="0.25">
      <c r="BJ201" s="122"/>
      <c r="BK201" s="122"/>
      <c r="BL201" s="122"/>
    </row>
    <row r="202" spans="62:64" x14ac:dyDescent="0.25">
      <c r="BJ202" s="122"/>
      <c r="BK202" s="122"/>
      <c r="BL202" s="122"/>
    </row>
    <row r="203" spans="62:64" x14ac:dyDescent="0.25">
      <c r="BJ203" s="122"/>
      <c r="BK203" s="122"/>
      <c r="BL203" s="122"/>
    </row>
    <row r="204" spans="62:64" x14ac:dyDescent="0.25">
      <c r="BJ204" s="122"/>
      <c r="BK204" s="122"/>
      <c r="BL204" s="122"/>
    </row>
    <row r="205" spans="62:64" x14ac:dyDescent="0.25">
      <c r="BJ205" s="122"/>
      <c r="BK205" s="122"/>
      <c r="BL205" s="122"/>
    </row>
    <row r="206" spans="62:64" x14ac:dyDescent="0.25">
      <c r="BJ206" s="122"/>
      <c r="BK206" s="122"/>
      <c r="BL206" s="122"/>
    </row>
    <row r="207" spans="62:64" x14ac:dyDescent="0.25">
      <c r="BJ207" s="122"/>
      <c r="BK207" s="122"/>
      <c r="BL207" s="122"/>
    </row>
    <row r="208" spans="62:64" x14ac:dyDescent="0.25">
      <c r="BJ208" s="122"/>
      <c r="BK208" s="122"/>
      <c r="BL208" s="122"/>
    </row>
    <row r="209" spans="62:64" x14ac:dyDescent="0.25">
      <c r="BJ209" s="122"/>
      <c r="BK209" s="122"/>
      <c r="BL209" s="122"/>
    </row>
    <row r="210" spans="62:64" x14ac:dyDescent="0.25">
      <c r="BJ210" s="122"/>
      <c r="BK210" s="122"/>
      <c r="BL210" s="122"/>
    </row>
    <row r="211" spans="62:64" x14ac:dyDescent="0.25">
      <c r="BJ211" s="122"/>
      <c r="BK211" s="122"/>
      <c r="BL211" s="122"/>
    </row>
    <row r="212" spans="62:64" x14ac:dyDescent="0.25">
      <c r="BJ212" s="122"/>
      <c r="BK212" s="122"/>
      <c r="BL212" s="122"/>
    </row>
    <row r="213" spans="62:64" x14ac:dyDescent="0.25">
      <c r="BJ213" s="122"/>
      <c r="BK213" s="122"/>
      <c r="BL213" s="122"/>
    </row>
    <row r="214" spans="62:64" x14ac:dyDescent="0.25">
      <c r="BJ214" s="122"/>
      <c r="BK214" s="122"/>
      <c r="BL214" s="122"/>
    </row>
    <row r="215" spans="62:64" x14ac:dyDescent="0.25">
      <c r="BJ215" s="122"/>
      <c r="BK215" s="122"/>
      <c r="BL215" s="122"/>
    </row>
    <row r="216" spans="62:64" x14ac:dyDescent="0.25">
      <c r="BJ216" s="122"/>
      <c r="BK216" s="122"/>
      <c r="BL216" s="122"/>
    </row>
    <row r="217" spans="62:64" x14ac:dyDescent="0.25">
      <c r="BJ217" s="122"/>
      <c r="BK217" s="122"/>
      <c r="BL217" s="122"/>
    </row>
    <row r="218" spans="62:64" x14ac:dyDescent="0.25">
      <c r="BJ218" s="122"/>
      <c r="BK218" s="122"/>
      <c r="BL218" s="122"/>
    </row>
    <row r="219" spans="62:64" x14ac:dyDescent="0.25">
      <c r="BJ219" s="122"/>
      <c r="BK219" s="122"/>
      <c r="BL219" s="122"/>
    </row>
    <row r="220" spans="62:64" x14ac:dyDescent="0.25">
      <c r="BJ220" s="122"/>
      <c r="BK220" s="122"/>
      <c r="BL220" s="122"/>
    </row>
    <row r="221" spans="62:64" x14ac:dyDescent="0.25">
      <c r="BJ221" s="122"/>
      <c r="BK221" s="122"/>
      <c r="BL221" s="122"/>
    </row>
    <row r="222" spans="62:64" x14ac:dyDescent="0.25">
      <c r="BJ222" s="122"/>
      <c r="BK222" s="122"/>
      <c r="BL222" s="122"/>
    </row>
    <row r="223" spans="62:64" x14ac:dyDescent="0.25">
      <c r="BJ223" s="122"/>
      <c r="BK223" s="122"/>
      <c r="BL223" s="122"/>
    </row>
    <row r="224" spans="62:64" x14ac:dyDescent="0.25">
      <c r="BJ224" s="122"/>
      <c r="BK224" s="122"/>
      <c r="BL224" s="122"/>
    </row>
    <row r="225" spans="62:64" x14ac:dyDescent="0.25">
      <c r="BJ225" s="122"/>
      <c r="BK225" s="122"/>
      <c r="BL225" s="122"/>
    </row>
    <row r="226" spans="62:64" x14ac:dyDescent="0.25">
      <c r="BJ226" s="122"/>
      <c r="BK226" s="122"/>
      <c r="BL226" s="122"/>
    </row>
    <row r="227" spans="62:64" x14ac:dyDescent="0.25">
      <c r="BJ227" s="122"/>
      <c r="BK227" s="122"/>
      <c r="BL227" s="122"/>
    </row>
    <row r="228" spans="62:64" x14ac:dyDescent="0.25">
      <c r="BJ228" s="122"/>
      <c r="BK228" s="122"/>
      <c r="BL228" s="122"/>
    </row>
    <row r="229" spans="62:64" x14ac:dyDescent="0.25">
      <c r="BJ229" s="122"/>
      <c r="BK229" s="122"/>
      <c r="BL229" s="122"/>
    </row>
    <row r="230" spans="62:64" x14ac:dyDescent="0.25">
      <c r="BJ230" s="122"/>
      <c r="BK230" s="122"/>
      <c r="BL230" s="122"/>
    </row>
    <row r="231" spans="62:64" x14ac:dyDescent="0.25">
      <c r="BJ231" s="122"/>
      <c r="BK231" s="122"/>
      <c r="BL231" s="122"/>
    </row>
    <row r="232" spans="62:64" x14ac:dyDescent="0.25">
      <c r="BJ232" s="122"/>
      <c r="BK232" s="122"/>
      <c r="BL232" s="122"/>
    </row>
    <row r="233" spans="62:64" x14ac:dyDescent="0.25">
      <c r="BJ233" s="122"/>
      <c r="BK233" s="122"/>
      <c r="BL233" s="122"/>
    </row>
    <row r="234" spans="62:64" x14ac:dyDescent="0.25">
      <c r="BJ234" s="122"/>
      <c r="BK234" s="122"/>
      <c r="BL234" s="122"/>
    </row>
    <row r="235" spans="62:64" x14ac:dyDescent="0.25">
      <c r="BJ235" s="122"/>
      <c r="BK235" s="122"/>
      <c r="BL235" s="122"/>
    </row>
    <row r="236" spans="62:64" x14ac:dyDescent="0.25">
      <c r="BJ236" s="122"/>
      <c r="BK236" s="122"/>
      <c r="BL236" s="122"/>
    </row>
    <row r="237" spans="62:64" x14ac:dyDescent="0.25">
      <c r="BJ237" s="122"/>
      <c r="BK237" s="122"/>
      <c r="BL237" s="122"/>
    </row>
    <row r="238" spans="62:64" x14ac:dyDescent="0.25">
      <c r="BJ238" s="122"/>
      <c r="BK238" s="122"/>
      <c r="BL238" s="122"/>
    </row>
    <row r="239" spans="62:64" x14ac:dyDescent="0.25">
      <c r="BJ239" s="122"/>
      <c r="BK239" s="122"/>
      <c r="BL239" s="122"/>
    </row>
    <row r="240" spans="62:64" x14ac:dyDescent="0.25">
      <c r="BJ240" s="122"/>
      <c r="BK240" s="122"/>
      <c r="BL240" s="122"/>
    </row>
    <row r="241" spans="62:64" x14ac:dyDescent="0.25">
      <c r="BJ241" s="122"/>
      <c r="BK241" s="122"/>
      <c r="BL241" s="122"/>
    </row>
    <row r="242" spans="62:64" x14ac:dyDescent="0.25">
      <c r="BJ242" s="122"/>
      <c r="BK242" s="122"/>
      <c r="BL242" s="122"/>
    </row>
    <row r="243" spans="62:64" x14ac:dyDescent="0.25">
      <c r="BJ243" s="122"/>
      <c r="BK243" s="122"/>
      <c r="BL243" s="122"/>
    </row>
    <row r="244" spans="62:64" x14ac:dyDescent="0.25">
      <c r="BJ244" s="122"/>
      <c r="BK244" s="122"/>
      <c r="BL244" s="122"/>
    </row>
    <row r="245" spans="62:64" x14ac:dyDescent="0.25">
      <c r="BJ245" s="122"/>
      <c r="BK245" s="122"/>
      <c r="BL245" s="122"/>
    </row>
    <row r="246" spans="62:64" x14ac:dyDescent="0.25">
      <c r="BJ246" s="122"/>
      <c r="BK246" s="122"/>
      <c r="BL246" s="122"/>
    </row>
    <row r="247" spans="62:64" x14ac:dyDescent="0.25">
      <c r="BJ247" s="122"/>
      <c r="BK247" s="122"/>
      <c r="BL247" s="122"/>
    </row>
    <row r="248" spans="62:64" x14ac:dyDescent="0.25">
      <c r="BJ248" s="122"/>
      <c r="BK248" s="122"/>
      <c r="BL248" s="122"/>
    </row>
    <row r="249" spans="62:64" x14ac:dyDescent="0.25">
      <c r="BJ249" s="122"/>
      <c r="BK249" s="122"/>
      <c r="BL249" s="122"/>
    </row>
    <row r="250" spans="62:64" x14ac:dyDescent="0.25">
      <c r="BJ250" s="122"/>
      <c r="BK250" s="122"/>
      <c r="BL250" s="122"/>
    </row>
    <row r="251" spans="62:64" x14ac:dyDescent="0.25">
      <c r="BJ251" s="122"/>
      <c r="BK251" s="122"/>
      <c r="BL251" s="122"/>
    </row>
    <row r="252" spans="62:64" x14ac:dyDescent="0.25">
      <c r="BJ252" s="122"/>
      <c r="BK252" s="122"/>
      <c r="BL252" s="122"/>
    </row>
    <row r="253" spans="62:64" x14ac:dyDescent="0.25">
      <c r="BJ253" s="122"/>
      <c r="BK253" s="122"/>
      <c r="BL253" s="122"/>
    </row>
    <row r="254" spans="62:64" x14ac:dyDescent="0.25">
      <c r="BJ254" s="122"/>
      <c r="BK254" s="122"/>
      <c r="BL254" s="122"/>
    </row>
    <row r="255" spans="62:64" x14ac:dyDescent="0.25">
      <c r="BJ255" s="122"/>
      <c r="BK255" s="122"/>
      <c r="BL255" s="122"/>
    </row>
    <row r="256" spans="62:64" x14ac:dyDescent="0.25">
      <c r="BJ256" s="122"/>
      <c r="BK256" s="122"/>
      <c r="BL256" s="122"/>
    </row>
    <row r="257" spans="62:64" x14ac:dyDescent="0.25">
      <c r="BJ257" s="122"/>
      <c r="BK257" s="122"/>
      <c r="BL257" s="122"/>
    </row>
    <row r="258" spans="62:64" x14ac:dyDescent="0.25">
      <c r="BJ258" s="122"/>
      <c r="BK258" s="122"/>
      <c r="BL258" s="122"/>
    </row>
    <row r="259" spans="62:64" x14ac:dyDescent="0.25">
      <c r="BJ259" s="122"/>
      <c r="BK259" s="122"/>
      <c r="BL259" s="122"/>
    </row>
    <row r="260" spans="62:64" x14ac:dyDescent="0.25">
      <c r="BJ260" s="122"/>
      <c r="BK260" s="122"/>
      <c r="BL260" s="122"/>
    </row>
    <row r="261" spans="62:64" x14ac:dyDescent="0.25">
      <c r="BJ261" s="122"/>
      <c r="BK261" s="122"/>
      <c r="BL261" s="122"/>
    </row>
    <row r="262" spans="62:64" x14ac:dyDescent="0.25">
      <c r="BJ262" s="122"/>
      <c r="BK262" s="122"/>
      <c r="BL262" s="122"/>
    </row>
    <row r="263" spans="62:64" x14ac:dyDescent="0.25">
      <c r="BJ263" s="122"/>
      <c r="BK263" s="122"/>
      <c r="BL263" s="122"/>
    </row>
    <row r="264" spans="62:64" x14ac:dyDescent="0.25">
      <c r="BJ264" s="122"/>
      <c r="BK264" s="122"/>
      <c r="BL264" s="122"/>
    </row>
    <row r="265" spans="62:64" x14ac:dyDescent="0.25">
      <c r="BJ265" s="122"/>
      <c r="BK265" s="122"/>
      <c r="BL265" s="122"/>
    </row>
    <row r="266" spans="62:64" x14ac:dyDescent="0.25">
      <c r="BJ266" s="122"/>
      <c r="BK266" s="122"/>
      <c r="BL266" s="122"/>
    </row>
    <row r="267" spans="62:64" x14ac:dyDescent="0.25">
      <c r="BJ267" s="122"/>
      <c r="BK267" s="122"/>
      <c r="BL267" s="122"/>
    </row>
    <row r="268" spans="62:64" x14ac:dyDescent="0.25">
      <c r="BJ268" s="122"/>
      <c r="BK268" s="122"/>
      <c r="BL268" s="122"/>
    </row>
    <row r="269" spans="62:64" x14ac:dyDescent="0.25">
      <c r="BJ269" s="122"/>
      <c r="BK269" s="122"/>
      <c r="BL269" s="122"/>
    </row>
    <row r="270" spans="62:64" x14ac:dyDescent="0.25">
      <c r="BJ270" s="122"/>
      <c r="BK270" s="122"/>
      <c r="BL270" s="122"/>
    </row>
    <row r="271" spans="62:64" x14ac:dyDescent="0.25">
      <c r="BJ271" s="122"/>
      <c r="BK271" s="122"/>
      <c r="BL271" s="122"/>
    </row>
    <row r="272" spans="62:64" x14ac:dyDescent="0.25">
      <c r="BJ272" s="122"/>
      <c r="BK272" s="122"/>
      <c r="BL272" s="122"/>
    </row>
    <row r="273" spans="62:64" x14ac:dyDescent="0.25">
      <c r="BJ273" s="122"/>
      <c r="BK273" s="122"/>
      <c r="BL273" s="122"/>
    </row>
    <row r="274" spans="62:64" x14ac:dyDescent="0.25">
      <c r="BJ274" s="122"/>
      <c r="BK274" s="122"/>
      <c r="BL274" s="122"/>
    </row>
    <row r="275" spans="62:64" x14ac:dyDescent="0.25">
      <c r="BJ275" s="122"/>
      <c r="BK275" s="122"/>
      <c r="BL275" s="122"/>
    </row>
    <row r="276" spans="62:64" x14ac:dyDescent="0.25">
      <c r="BJ276" s="122"/>
      <c r="BK276" s="122"/>
      <c r="BL276" s="122"/>
    </row>
    <row r="277" spans="62:64" x14ac:dyDescent="0.25">
      <c r="BJ277" s="122"/>
      <c r="BK277" s="122"/>
      <c r="BL277" s="122"/>
    </row>
    <row r="278" spans="62:64" x14ac:dyDescent="0.25">
      <c r="BJ278" s="122"/>
      <c r="BK278" s="122"/>
      <c r="BL278" s="122"/>
    </row>
    <row r="279" spans="62:64" x14ac:dyDescent="0.25">
      <c r="BJ279" s="122"/>
      <c r="BK279" s="122"/>
      <c r="BL279" s="122"/>
    </row>
    <row r="280" spans="62:64" x14ac:dyDescent="0.25">
      <c r="BJ280" s="122"/>
      <c r="BK280" s="122"/>
      <c r="BL280" s="122"/>
    </row>
    <row r="281" spans="62:64" x14ac:dyDescent="0.25">
      <c r="BJ281" s="122"/>
      <c r="BK281" s="122"/>
      <c r="BL281" s="122"/>
    </row>
    <row r="282" spans="62:64" x14ac:dyDescent="0.25">
      <c r="BJ282" s="122"/>
      <c r="BK282" s="122"/>
      <c r="BL282" s="122"/>
    </row>
    <row r="283" spans="62:64" x14ac:dyDescent="0.25">
      <c r="BJ283" s="122"/>
      <c r="BK283" s="122"/>
      <c r="BL283" s="122"/>
    </row>
    <row r="284" spans="62:64" x14ac:dyDescent="0.25">
      <c r="BJ284" s="122"/>
      <c r="BK284" s="122"/>
      <c r="BL284" s="122"/>
    </row>
    <row r="285" spans="62:64" x14ac:dyDescent="0.25">
      <c r="BJ285" s="122"/>
      <c r="BK285" s="122"/>
      <c r="BL285" s="122"/>
    </row>
    <row r="286" spans="62:64" x14ac:dyDescent="0.25">
      <c r="BJ286" s="122"/>
      <c r="BK286" s="122"/>
      <c r="BL286" s="122"/>
    </row>
    <row r="287" spans="62:64" x14ac:dyDescent="0.25">
      <c r="BJ287" s="122"/>
      <c r="BK287" s="122"/>
      <c r="BL287" s="122"/>
    </row>
    <row r="288" spans="62:64" x14ac:dyDescent="0.25">
      <c r="BJ288" s="122"/>
      <c r="BK288" s="122"/>
      <c r="BL288" s="122"/>
    </row>
    <row r="289" spans="62:64" x14ac:dyDescent="0.25">
      <c r="BJ289" s="122"/>
      <c r="BK289" s="122"/>
      <c r="BL289" s="122"/>
    </row>
    <row r="290" spans="62:64" x14ac:dyDescent="0.25">
      <c r="BJ290" s="122"/>
      <c r="BK290" s="122"/>
      <c r="BL290" s="122"/>
    </row>
    <row r="291" spans="62:64" x14ac:dyDescent="0.25">
      <c r="BJ291" s="122"/>
      <c r="BK291" s="122"/>
      <c r="BL291" s="122"/>
    </row>
    <row r="292" spans="62:64" x14ac:dyDescent="0.25">
      <c r="BJ292" s="122"/>
      <c r="BK292" s="122"/>
      <c r="BL292" s="122"/>
    </row>
    <row r="293" spans="62:64" x14ac:dyDescent="0.25">
      <c r="BJ293" s="122"/>
      <c r="BK293" s="122"/>
      <c r="BL293" s="122"/>
    </row>
    <row r="294" spans="62:64" x14ac:dyDescent="0.25">
      <c r="BJ294" s="122"/>
      <c r="BK294" s="122"/>
      <c r="BL294" s="122"/>
    </row>
    <row r="295" spans="62:64" x14ac:dyDescent="0.25">
      <c r="BJ295" s="122"/>
      <c r="BK295" s="122"/>
      <c r="BL295" s="122"/>
    </row>
    <row r="296" spans="62:64" x14ac:dyDescent="0.25">
      <c r="BJ296" s="122"/>
      <c r="BK296" s="122"/>
      <c r="BL296" s="122"/>
    </row>
    <row r="297" spans="62:64" x14ac:dyDescent="0.25">
      <c r="BJ297" s="122"/>
      <c r="BK297" s="122"/>
      <c r="BL297" s="122"/>
    </row>
    <row r="298" spans="62:64" x14ac:dyDescent="0.25">
      <c r="BJ298" s="122"/>
      <c r="BK298" s="122"/>
      <c r="BL298" s="122"/>
    </row>
    <row r="299" spans="62:64" x14ac:dyDescent="0.25">
      <c r="BJ299" s="122"/>
      <c r="BK299" s="122"/>
      <c r="BL299" s="122"/>
    </row>
    <row r="300" spans="62:64" x14ac:dyDescent="0.25">
      <c r="BJ300" s="122"/>
      <c r="BK300" s="122"/>
      <c r="BL300" s="122"/>
    </row>
    <row r="301" spans="62:64" x14ac:dyDescent="0.25">
      <c r="BJ301" s="122"/>
      <c r="BK301" s="122"/>
      <c r="BL301" s="122"/>
    </row>
    <row r="302" spans="62:64" x14ac:dyDescent="0.25">
      <c r="BJ302" s="122"/>
      <c r="BK302" s="122"/>
      <c r="BL302" s="122"/>
    </row>
    <row r="303" spans="62:64" x14ac:dyDescent="0.25">
      <c r="BJ303" s="122"/>
      <c r="BK303" s="122"/>
      <c r="BL303" s="122"/>
    </row>
    <row r="304" spans="62:64" x14ac:dyDescent="0.25">
      <c r="BJ304" s="122"/>
      <c r="BK304" s="122"/>
      <c r="BL304" s="122"/>
    </row>
    <row r="305" spans="62:64" x14ac:dyDescent="0.25">
      <c r="BJ305" s="122"/>
      <c r="BK305" s="122"/>
      <c r="BL305" s="122"/>
    </row>
    <row r="306" spans="62:64" x14ac:dyDescent="0.25">
      <c r="BJ306" s="122"/>
      <c r="BK306" s="122"/>
      <c r="BL306" s="122"/>
    </row>
    <row r="307" spans="62:64" x14ac:dyDescent="0.25">
      <c r="BJ307" s="122"/>
      <c r="BK307" s="122"/>
      <c r="BL307" s="122"/>
    </row>
    <row r="308" spans="62:64" x14ac:dyDescent="0.25">
      <c r="BJ308" s="122"/>
      <c r="BK308" s="122"/>
      <c r="BL308" s="122"/>
    </row>
    <row r="309" spans="62:64" x14ac:dyDescent="0.25">
      <c r="BJ309" s="122"/>
      <c r="BK309" s="122"/>
      <c r="BL309" s="122"/>
    </row>
    <row r="310" spans="62:64" x14ac:dyDescent="0.25">
      <c r="BJ310" s="122"/>
      <c r="BK310" s="122"/>
      <c r="BL310" s="122"/>
    </row>
    <row r="311" spans="62:64" x14ac:dyDescent="0.25">
      <c r="BJ311" s="122"/>
      <c r="BK311" s="122"/>
      <c r="BL311" s="122"/>
    </row>
    <row r="312" spans="62:64" x14ac:dyDescent="0.25">
      <c r="BJ312" s="122"/>
      <c r="BK312" s="122"/>
      <c r="BL312" s="122"/>
    </row>
    <row r="313" spans="62:64" x14ac:dyDescent="0.25">
      <c r="BJ313" s="122"/>
      <c r="BK313" s="122"/>
      <c r="BL313" s="122"/>
    </row>
    <row r="314" spans="62:64" x14ac:dyDescent="0.25">
      <c r="BJ314" s="122"/>
      <c r="BK314" s="122"/>
      <c r="BL314" s="122"/>
    </row>
    <row r="315" spans="62:64" x14ac:dyDescent="0.25">
      <c r="BJ315" s="122"/>
      <c r="BK315" s="122"/>
      <c r="BL315" s="122"/>
    </row>
    <row r="316" spans="62:64" x14ac:dyDescent="0.25">
      <c r="BJ316" s="122"/>
      <c r="BK316" s="122"/>
      <c r="BL316" s="122"/>
    </row>
    <row r="317" spans="62:64" x14ac:dyDescent="0.25">
      <c r="BJ317" s="122"/>
      <c r="BK317" s="122"/>
      <c r="BL317" s="122"/>
    </row>
    <row r="318" spans="62:64" x14ac:dyDescent="0.25">
      <c r="BJ318" s="122"/>
      <c r="BK318" s="122"/>
      <c r="BL318" s="122"/>
    </row>
    <row r="319" spans="62:64" x14ac:dyDescent="0.25">
      <c r="BJ319" s="122"/>
      <c r="BK319" s="122"/>
      <c r="BL319" s="122"/>
    </row>
    <row r="320" spans="62:64" x14ac:dyDescent="0.25">
      <c r="BJ320" s="122"/>
      <c r="BK320" s="122"/>
      <c r="BL320" s="122"/>
    </row>
    <row r="321" spans="62:64" x14ac:dyDescent="0.25">
      <c r="BJ321" s="122"/>
      <c r="BK321" s="122"/>
      <c r="BL321" s="122"/>
    </row>
    <row r="322" spans="62:64" x14ac:dyDescent="0.25">
      <c r="BJ322" s="122"/>
      <c r="BK322" s="122"/>
      <c r="BL322" s="122"/>
    </row>
    <row r="323" spans="62:64" x14ac:dyDescent="0.25">
      <c r="BJ323" s="122"/>
      <c r="BK323" s="122"/>
      <c r="BL323" s="122"/>
    </row>
    <row r="324" spans="62:64" x14ac:dyDescent="0.25">
      <c r="BJ324" s="122"/>
      <c r="BK324" s="122"/>
      <c r="BL324" s="122"/>
    </row>
    <row r="325" spans="62:64" x14ac:dyDescent="0.25">
      <c r="BJ325" s="122"/>
      <c r="BK325" s="122"/>
      <c r="BL325" s="122"/>
    </row>
    <row r="326" spans="62:64" x14ac:dyDescent="0.25">
      <c r="BJ326" s="122"/>
      <c r="BK326" s="122"/>
      <c r="BL326" s="122"/>
    </row>
    <row r="327" spans="62:64" x14ac:dyDescent="0.25">
      <c r="BJ327" s="122"/>
      <c r="BK327" s="122"/>
      <c r="BL327" s="122"/>
    </row>
    <row r="328" spans="62:64" x14ac:dyDescent="0.25">
      <c r="BJ328" s="122"/>
      <c r="BK328" s="122"/>
      <c r="BL328" s="122"/>
    </row>
    <row r="329" spans="62:64" x14ac:dyDescent="0.25">
      <c r="BJ329" s="122"/>
      <c r="BK329" s="122"/>
      <c r="BL329" s="122"/>
    </row>
    <row r="330" spans="62:64" x14ac:dyDescent="0.25">
      <c r="BJ330" s="122"/>
      <c r="BK330" s="122"/>
      <c r="BL330" s="122"/>
    </row>
    <row r="331" spans="62:64" x14ac:dyDescent="0.25">
      <c r="BJ331" s="122"/>
      <c r="BK331" s="122"/>
      <c r="BL331" s="122"/>
    </row>
    <row r="332" spans="62:64" x14ac:dyDescent="0.25">
      <c r="BJ332" s="122"/>
      <c r="BK332" s="122"/>
      <c r="BL332" s="122"/>
    </row>
    <row r="333" spans="62:64" x14ac:dyDescent="0.25">
      <c r="BJ333" s="122"/>
      <c r="BK333" s="122"/>
      <c r="BL333" s="122"/>
    </row>
    <row r="334" spans="62:64" x14ac:dyDescent="0.25">
      <c r="BJ334" s="122"/>
      <c r="BK334" s="122"/>
      <c r="BL334" s="122"/>
    </row>
    <row r="335" spans="62:64" x14ac:dyDescent="0.25">
      <c r="BJ335" s="122"/>
      <c r="BK335" s="122"/>
      <c r="BL335" s="122"/>
    </row>
    <row r="336" spans="62:64" x14ac:dyDescent="0.25">
      <c r="BJ336" s="122"/>
      <c r="BK336" s="122"/>
      <c r="BL336" s="122"/>
    </row>
    <row r="337" spans="62:64" x14ac:dyDescent="0.25">
      <c r="BJ337" s="122"/>
      <c r="BK337" s="122"/>
      <c r="BL337" s="122"/>
    </row>
    <row r="338" spans="62:64" x14ac:dyDescent="0.25">
      <c r="BJ338" s="122"/>
      <c r="BK338" s="122"/>
      <c r="BL338" s="122"/>
    </row>
    <row r="339" spans="62:64" x14ac:dyDescent="0.25">
      <c r="BJ339" s="122"/>
      <c r="BK339" s="122"/>
      <c r="BL339" s="122"/>
    </row>
    <row r="340" spans="62:64" x14ac:dyDescent="0.25">
      <c r="BJ340" s="122"/>
      <c r="BK340" s="122"/>
      <c r="BL340" s="122"/>
    </row>
    <row r="341" spans="62:64" x14ac:dyDescent="0.25">
      <c r="BJ341" s="122"/>
      <c r="BK341" s="122"/>
      <c r="BL341" s="122"/>
    </row>
    <row r="342" spans="62:64" x14ac:dyDescent="0.25">
      <c r="BJ342" s="122"/>
      <c r="BK342" s="122"/>
      <c r="BL342" s="122"/>
    </row>
    <row r="343" spans="62:64" x14ac:dyDescent="0.25">
      <c r="BJ343" s="122"/>
      <c r="BK343" s="122"/>
      <c r="BL343" s="122"/>
    </row>
    <row r="344" spans="62:64" x14ac:dyDescent="0.25">
      <c r="BJ344" s="122"/>
      <c r="BK344" s="122"/>
      <c r="BL344" s="122"/>
    </row>
    <row r="345" spans="62:64" x14ac:dyDescent="0.25">
      <c r="BJ345" s="122"/>
      <c r="BK345" s="122"/>
      <c r="BL345" s="122"/>
    </row>
    <row r="346" spans="62:64" x14ac:dyDescent="0.25">
      <c r="BJ346" s="122"/>
      <c r="BK346" s="122"/>
      <c r="BL346" s="122"/>
    </row>
    <row r="347" spans="62:64" x14ac:dyDescent="0.25">
      <c r="BJ347" s="122"/>
      <c r="BK347" s="122"/>
      <c r="BL347" s="122"/>
    </row>
    <row r="348" spans="62:64" x14ac:dyDescent="0.25">
      <c r="BJ348" s="122"/>
      <c r="BK348" s="122"/>
      <c r="BL348" s="122"/>
    </row>
    <row r="349" spans="62:64" x14ac:dyDescent="0.25">
      <c r="BJ349" s="122"/>
      <c r="BK349" s="122"/>
      <c r="BL349" s="122"/>
    </row>
    <row r="350" spans="62:64" x14ac:dyDescent="0.25">
      <c r="BJ350" s="122"/>
      <c r="BK350" s="122"/>
      <c r="BL350" s="122"/>
    </row>
    <row r="351" spans="62:64" x14ac:dyDescent="0.25">
      <c r="BJ351" s="122"/>
      <c r="BK351" s="122"/>
      <c r="BL351" s="122"/>
    </row>
    <row r="352" spans="62:64" x14ac:dyDescent="0.25">
      <c r="BJ352" s="122"/>
      <c r="BK352" s="122"/>
      <c r="BL352" s="122"/>
    </row>
    <row r="353" spans="62:64" x14ac:dyDescent="0.25">
      <c r="BJ353" s="122"/>
      <c r="BK353" s="122"/>
      <c r="BL353" s="122"/>
    </row>
    <row r="354" spans="62:64" x14ac:dyDescent="0.25">
      <c r="BJ354" s="122"/>
      <c r="BK354" s="122"/>
      <c r="BL354" s="122"/>
    </row>
    <row r="355" spans="62:64" x14ac:dyDescent="0.25">
      <c r="BJ355" s="122"/>
      <c r="BK355" s="122"/>
      <c r="BL355" s="122"/>
    </row>
    <row r="356" spans="62:64" x14ac:dyDescent="0.25">
      <c r="BJ356" s="122"/>
      <c r="BK356" s="122"/>
      <c r="BL356" s="122"/>
    </row>
    <row r="357" spans="62:64" x14ac:dyDescent="0.25">
      <c r="BJ357" s="122"/>
      <c r="BK357" s="122"/>
      <c r="BL357" s="122"/>
    </row>
    <row r="358" spans="62:64" x14ac:dyDescent="0.25">
      <c r="BJ358" s="122"/>
      <c r="BK358" s="122"/>
      <c r="BL358" s="122"/>
    </row>
    <row r="359" spans="62:64" x14ac:dyDescent="0.25">
      <c r="BJ359" s="122"/>
      <c r="BK359" s="122"/>
      <c r="BL359" s="122"/>
    </row>
    <row r="360" spans="62:64" x14ac:dyDescent="0.25">
      <c r="BJ360" s="122"/>
      <c r="BK360" s="122"/>
      <c r="BL360" s="122"/>
    </row>
    <row r="361" spans="62:64" x14ac:dyDescent="0.25">
      <c r="BJ361" s="122"/>
      <c r="BK361" s="122"/>
      <c r="BL361" s="122"/>
    </row>
    <row r="362" spans="62:64" x14ac:dyDescent="0.25">
      <c r="BJ362" s="122"/>
      <c r="BK362" s="122"/>
      <c r="BL362" s="122"/>
    </row>
    <row r="363" spans="62:64" x14ac:dyDescent="0.25">
      <c r="BJ363" s="122"/>
      <c r="BK363" s="122"/>
      <c r="BL363" s="122"/>
    </row>
    <row r="364" spans="62:64" x14ac:dyDescent="0.25">
      <c r="BJ364" s="122"/>
      <c r="BK364" s="122"/>
      <c r="BL364" s="122"/>
    </row>
    <row r="365" spans="62:64" x14ac:dyDescent="0.25">
      <c r="BJ365" s="122"/>
      <c r="BK365" s="122"/>
      <c r="BL365" s="122"/>
    </row>
    <row r="366" spans="62:64" x14ac:dyDescent="0.25">
      <c r="BJ366" s="122"/>
      <c r="BK366" s="122"/>
      <c r="BL366" s="122"/>
    </row>
    <row r="367" spans="62:64" x14ac:dyDescent="0.25">
      <c r="BJ367" s="122"/>
      <c r="BK367" s="122"/>
      <c r="BL367" s="122"/>
    </row>
    <row r="368" spans="62:64" x14ac:dyDescent="0.25">
      <c r="BJ368" s="122"/>
      <c r="BK368" s="122"/>
      <c r="BL368" s="122"/>
    </row>
    <row r="369" spans="62:64" x14ac:dyDescent="0.25">
      <c r="BJ369" s="122"/>
      <c r="BK369" s="122"/>
      <c r="BL369" s="122"/>
    </row>
    <row r="370" spans="62:64" x14ac:dyDescent="0.25">
      <c r="BJ370" s="122"/>
      <c r="BK370" s="122"/>
      <c r="BL370" s="122"/>
    </row>
    <row r="371" spans="62:64" x14ac:dyDescent="0.25">
      <c r="BJ371" s="122"/>
      <c r="BK371" s="122"/>
      <c r="BL371" s="122"/>
    </row>
    <row r="372" spans="62:64" x14ac:dyDescent="0.25">
      <c r="BJ372" s="122"/>
      <c r="BK372" s="122"/>
      <c r="BL372" s="122"/>
    </row>
    <row r="373" spans="62:64" x14ac:dyDescent="0.25">
      <c r="BJ373" s="122"/>
      <c r="BK373" s="122"/>
      <c r="BL373" s="122"/>
    </row>
    <row r="374" spans="62:64" x14ac:dyDescent="0.25">
      <c r="BJ374" s="122"/>
      <c r="BK374" s="122"/>
      <c r="BL374" s="122"/>
    </row>
    <row r="375" spans="62:64" x14ac:dyDescent="0.25">
      <c r="BJ375" s="122"/>
      <c r="BK375" s="122"/>
      <c r="BL375" s="122"/>
    </row>
    <row r="376" spans="62:64" x14ac:dyDescent="0.25">
      <c r="BJ376" s="122"/>
      <c r="BK376" s="122"/>
      <c r="BL376" s="122"/>
    </row>
    <row r="377" spans="62:64" x14ac:dyDescent="0.25">
      <c r="BJ377" s="122"/>
      <c r="BK377" s="122"/>
      <c r="BL377" s="122"/>
    </row>
    <row r="378" spans="62:64" x14ac:dyDescent="0.25">
      <c r="BJ378" s="122"/>
      <c r="BK378" s="122"/>
      <c r="BL378" s="122"/>
    </row>
    <row r="379" spans="62:64" x14ac:dyDescent="0.25">
      <c r="BJ379" s="122"/>
      <c r="BK379" s="122"/>
      <c r="BL379" s="122"/>
    </row>
    <row r="380" spans="62:64" x14ac:dyDescent="0.25">
      <c r="BJ380" s="122"/>
      <c r="BK380" s="122"/>
      <c r="BL380" s="122"/>
    </row>
    <row r="381" spans="62:64" x14ac:dyDescent="0.25">
      <c r="BJ381" s="122"/>
      <c r="BK381" s="122"/>
      <c r="BL381" s="122"/>
    </row>
    <row r="382" spans="62:64" x14ac:dyDescent="0.25">
      <c r="BJ382" s="122"/>
      <c r="BK382" s="122"/>
      <c r="BL382" s="122"/>
    </row>
    <row r="383" spans="62:64" x14ac:dyDescent="0.25">
      <c r="BJ383" s="122"/>
      <c r="BK383" s="122"/>
      <c r="BL383" s="122"/>
    </row>
    <row r="384" spans="62:64" x14ac:dyDescent="0.25">
      <c r="BJ384" s="122"/>
      <c r="BK384" s="122"/>
      <c r="BL384" s="122"/>
    </row>
    <row r="385" spans="62:64" x14ac:dyDescent="0.25">
      <c r="BJ385" s="122"/>
      <c r="BK385" s="122"/>
      <c r="BL385" s="122"/>
    </row>
    <row r="386" spans="62:64" x14ac:dyDescent="0.25">
      <c r="BJ386" s="122"/>
      <c r="BK386" s="122"/>
      <c r="BL386" s="122"/>
    </row>
    <row r="387" spans="62:64" x14ac:dyDescent="0.25">
      <c r="BJ387" s="122"/>
      <c r="BK387" s="122"/>
      <c r="BL387" s="122"/>
    </row>
    <row r="388" spans="62:64" x14ac:dyDescent="0.25">
      <c r="BJ388" s="122"/>
      <c r="BK388" s="122"/>
      <c r="BL388" s="122"/>
    </row>
    <row r="389" spans="62:64" x14ac:dyDescent="0.25">
      <c r="BJ389" s="122"/>
      <c r="BK389" s="122"/>
      <c r="BL389" s="122"/>
    </row>
    <row r="390" spans="62:64" x14ac:dyDescent="0.25">
      <c r="BJ390" s="122"/>
      <c r="BK390" s="122"/>
      <c r="BL390" s="122"/>
    </row>
    <row r="391" spans="62:64" x14ac:dyDescent="0.25">
      <c r="BJ391" s="122"/>
      <c r="BK391" s="122"/>
      <c r="BL391" s="122"/>
    </row>
    <row r="392" spans="62:64" x14ac:dyDescent="0.25">
      <c r="BJ392" s="122"/>
      <c r="BK392" s="122"/>
      <c r="BL392" s="122"/>
    </row>
    <row r="393" spans="62:64" x14ac:dyDescent="0.25">
      <c r="BJ393" s="122"/>
      <c r="BK393" s="122"/>
      <c r="BL393" s="122"/>
    </row>
    <row r="394" spans="62:64" x14ac:dyDescent="0.25">
      <c r="BJ394" s="122"/>
      <c r="BK394" s="122"/>
      <c r="BL394" s="122"/>
    </row>
    <row r="395" spans="62:64" x14ac:dyDescent="0.25">
      <c r="BJ395" s="122"/>
      <c r="BK395" s="122"/>
      <c r="BL395" s="122"/>
    </row>
    <row r="396" spans="62:64" x14ac:dyDescent="0.25">
      <c r="BJ396" s="122"/>
      <c r="BK396" s="122"/>
      <c r="BL396" s="122"/>
    </row>
    <row r="397" spans="62:64" x14ac:dyDescent="0.25">
      <c r="BJ397" s="122"/>
      <c r="BK397" s="122"/>
      <c r="BL397" s="122"/>
    </row>
    <row r="398" spans="62:64" x14ac:dyDescent="0.25">
      <c r="BJ398" s="122"/>
      <c r="BK398" s="122"/>
      <c r="BL398" s="122"/>
    </row>
    <row r="399" spans="62:64" x14ac:dyDescent="0.25">
      <c r="BJ399" s="122"/>
      <c r="BK399" s="122"/>
      <c r="BL399" s="122"/>
    </row>
    <row r="400" spans="62:64" x14ac:dyDescent="0.25">
      <c r="BJ400" s="122"/>
      <c r="BK400" s="122"/>
      <c r="BL400" s="122"/>
    </row>
    <row r="401" spans="62:64" x14ac:dyDescent="0.25">
      <c r="BJ401" s="122"/>
      <c r="BK401" s="122"/>
      <c r="BL401" s="122"/>
    </row>
    <row r="402" spans="62:64" x14ac:dyDescent="0.25">
      <c r="BJ402" s="122"/>
      <c r="BK402" s="122"/>
      <c r="BL402" s="122"/>
    </row>
    <row r="403" spans="62:64" x14ac:dyDescent="0.25">
      <c r="BJ403" s="122"/>
      <c r="BK403" s="122"/>
      <c r="BL403" s="122"/>
    </row>
    <row r="404" spans="62:64" x14ac:dyDescent="0.25">
      <c r="BJ404" s="122"/>
      <c r="BK404" s="122"/>
      <c r="BL404" s="122"/>
    </row>
    <row r="405" spans="62:64" x14ac:dyDescent="0.25">
      <c r="BJ405" s="122"/>
      <c r="BK405" s="122"/>
      <c r="BL405" s="122"/>
    </row>
    <row r="406" spans="62:64" x14ac:dyDescent="0.25">
      <c r="BJ406" s="122"/>
      <c r="BK406" s="122"/>
      <c r="BL406" s="122"/>
    </row>
    <row r="407" spans="62:64" x14ac:dyDescent="0.25">
      <c r="BJ407" s="122"/>
      <c r="BK407" s="122"/>
      <c r="BL407" s="122"/>
    </row>
    <row r="408" spans="62:64" x14ac:dyDescent="0.25">
      <c r="BJ408" s="122"/>
      <c r="BK408" s="122"/>
      <c r="BL408" s="122"/>
    </row>
    <row r="409" spans="62:64" x14ac:dyDescent="0.25">
      <c r="BJ409" s="122"/>
      <c r="BK409" s="122"/>
      <c r="BL409" s="122"/>
    </row>
    <row r="410" spans="62:64" x14ac:dyDescent="0.25">
      <c r="BJ410" s="122"/>
      <c r="BK410" s="122"/>
      <c r="BL410" s="122"/>
    </row>
    <row r="411" spans="62:64" x14ac:dyDescent="0.25">
      <c r="BJ411" s="122"/>
      <c r="BK411" s="122"/>
      <c r="BL411" s="122"/>
    </row>
    <row r="412" spans="62:64" x14ac:dyDescent="0.25">
      <c r="BJ412" s="122"/>
      <c r="BK412" s="122"/>
      <c r="BL412" s="122"/>
    </row>
    <row r="413" spans="62:64" x14ac:dyDescent="0.25">
      <c r="BJ413" s="122"/>
      <c r="BK413" s="122"/>
      <c r="BL413" s="122"/>
    </row>
    <row r="414" spans="62:64" x14ac:dyDescent="0.25">
      <c r="BJ414" s="122"/>
      <c r="BK414" s="122"/>
      <c r="BL414" s="122"/>
    </row>
    <row r="415" spans="62:64" x14ac:dyDescent="0.25">
      <c r="BJ415" s="122"/>
      <c r="BK415" s="122"/>
      <c r="BL415" s="122"/>
    </row>
    <row r="416" spans="62:64" x14ac:dyDescent="0.25">
      <c r="BJ416" s="122"/>
      <c r="BK416" s="122"/>
      <c r="BL416" s="122"/>
    </row>
    <row r="417" spans="62:64" x14ac:dyDescent="0.25">
      <c r="BJ417" s="122"/>
      <c r="BK417" s="122"/>
      <c r="BL417" s="122"/>
    </row>
    <row r="418" spans="62:64" x14ac:dyDescent="0.25">
      <c r="BJ418" s="122"/>
      <c r="BK418" s="122"/>
      <c r="BL418" s="122"/>
    </row>
    <row r="419" spans="62:64" x14ac:dyDescent="0.25">
      <c r="BJ419" s="122"/>
      <c r="BK419" s="122"/>
      <c r="BL419" s="122"/>
    </row>
    <row r="420" spans="62:64" x14ac:dyDescent="0.25">
      <c r="BJ420" s="122"/>
      <c r="BK420" s="122"/>
      <c r="BL420" s="122"/>
    </row>
    <row r="421" spans="62:64" x14ac:dyDescent="0.25">
      <c r="BJ421" s="122"/>
      <c r="BK421" s="122"/>
      <c r="BL421" s="122"/>
    </row>
    <row r="422" spans="62:64" x14ac:dyDescent="0.25">
      <c r="BJ422" s="122"/>
      <c r="BK422" s="122"/>
      <c r="BL422" s="122"/>
    </row>
    <row r="423" spans="62:64" x14ac:dyDescent="0.25">
      <c r="BJ423" s="122"/>
      <c r="BK423" s="122"/>
      <c r="BL423" s="122"/>
    </row>
    <row r="424" spans="62:64" x14ac:dyDescent="0.25">
      <c r="BJ424" s="122"/>
      <c r="BK424" s="122"/>
      <c r="BL424" s="122"/>
    </row>
    <row r="425" spans="62:64" x14ac:dyDescent="0.25">
      <c r="BJ425" s="122"/>
      <c r="BK425" s="122"/>
      <c r="BL425" s="122"/>
    </row>
    <row r="426" spans="62:64" x14ac:dyDescent="0.25">
      <c r="BJ426" s="122"/>
      <c r="BK426" s="122"/>
      <c r="BL426" s="122"/>
    </row>
    <row r="427" spans="62:64" x14ac:dyDescent="0.25">
      <c r="BJ427" s="122"/>
      <c r="BK427" s="122"/>
      <c r="BL427" s="122"/>
    </row>
    <row r="428" spans="62:64" x14ac:dyDescent="0.25">
      <c r="BJ428" s="122"/>
      <c r="BK428" s="122"/>
      <c r="BL428" s="122"/>
    </row>
    <row r="429" spans="62:64" x14ac:dyDescent="0.25">
      <c r="BJ429" s="122"/>
      <c r="BK429" s="122"/>
      <c r="BL429" s="122"/>
    </row>
    <row r="430" spans="62:64" x14ac:dyDescent="0.25">
      <c r="BJ430" s="122"/>
      <c r="BK430" s="122"/>
      <c r="BL430" s="122"/>
    </row>
    <row r="431" spans="62:64" x14ac:dyDescent="0.25">
      <c r="BJ431" s="122"/>
      <c r="BK431" s="122"/>
      <c r="BL431" s="122"/>
    </row>
    <row r="432" spans="62:64" x14ac:dyDescent="0.25">
      <c r="BJ432" s="122"/>
      <c r="BK432" s="122"/>
      <c r="BL432" s="122"/>
    </row>
    <row r="433" spans="62:64" x14ac:dyDescent="0.25">
      <c r="BJ433" s="122"/>
      <c r="BK433" s="122"/>
      <c r="BL433" s="122"/>
    </row>
    <row r="434" spans="62:64" x14ac:dyDescent="0.25">
      <c r="BJ434" s="122"/>
      <c r="BK434" s="122"/>
      <c r="BL434" s="122"/>
    </row>
    <row r="435" spans="62:64" x14ac:dyDescent="0.25">
      <c r="BJ435" s="122"/>
      <c r="BK435" s="122"/>
      <c r="BL435" s="122"/>
    </row>
    <row r="436" spans="62:64" x14ac:dyDescent="0.25">
      <c r="BJ436" s="122"/>
      <c r="BK436" s="122"/>
      <c r="BL436" s="122"/>
    </row>
    <row r="437" spans="62:64" x14ac:dyDescent="0.25">
      <c r="BJ437" s="122"/>
      <c r="BK437" s="122"/>
      <c r="BL437" s="122"/>
    </row>
    <row r="438" spans="62:64" x14ac:dyDescent="0.25">
      <c r="BJ438" s="122"/>
      <c r="BK438" s="122"/>
      <c r="BL438" s="122"/>
    </row>
    <row r="439" spans="62:64" x14ac:dyDescent="0.25">
      <c r="BJ439" s="122"/>
      <c r="BK439" s="122"/>
      <c r="BL439" s="122"/>
    </row>
    <row r="440" spans="62:64" x14ac:dyDescent="0.25">
      <c r="BJ440" s="122"/>
      <c r="BK440" s="122"/>
      <c r="BL440" s="122"/>
    </row>
    <row r="441" spans="62:64" x14ac:dyDescent="0.25">
      <c r="BJ441" s="122"/>
      <c r="BK441" s="122"/>
      <c r="BL441" s="122"/>
    </row>
    <row r="442" spans="62:64" x14ac:dyDescent="0.25">
      <c r="BJ442" s="122"/>
      <c r="BK442" s="122"/>
      <c r="BL442" s="122"/>
    </row>
    <row r="443" spans="62:64" x14ac:dyDescent="0.25">
      <c r="BJ443" s="122"/>
      <c r="BK443" s="122"/>
      <c r="BL443" s="122"/>
    </row>
    <row r="444" spans="62:64" x14ac:dyDescent="0.25">
      <c r="BJ444" s="122"/>
      <c r="BK444" s="122"/>
      <c r="BL444" s="122"/>
    </row>
    <row r="445" spans="62:64" x14ac:dyDescent="0.25">
      <c r="BJ445" s="122"/>
      <c r="BK445" s="122"/>
      <c r="BL445" s="122"/>
    </row>
    <row r="446" spans="62:64" x14ac:dyDescent="0.25">
      <c r="BJ446" s="122"/>
      <c r="BK446" s="122"/>
      <c r="BL446" s="122"/>
    </row>
    <row r="447" spans="62:64" x14ac:dyDescent="0.25">
      <c r="BJ447" s="122"/>
      <c r="BK447" s="122"/>
      <c r="BL447" s="122"/>
    </row>
    <row r="448" spans="62:64" x14ac:dyDescent="0.25">
      <c r="BJ448" s="122"/>
      <c r="BK448" s="122"/>
      <c r="BL448" s="122"/>
    </row>
    <row r="449" spans="62:64" x14ac:dyDescent="0.25">
      <c r="BJ449" s="122"/>
      <c r="BK449" s="122"/>
      <c r="BL449" s="122"/>
    </row>
    <row r="450" spans="62:64" x14ac:dyDescent="0.25">
      <c r="BJ450" s="122"/>
      <c r="BK450" s="122"/>
      <c r="BL450" s="122"/>
    </row>
    <row r="451" spans="62:64" x14ac:dyDescent="0.25">
      <c r="BJ451" s="122"/>
      <c r="BK451" s="122"/>
      <c r="BL451" s="122"/>
    </row>
    <row r="452" spans="62:64" x14ac:dyDescent="0.25">
      <c r="BJ452" s="122"/>
      <c r="BK452" s="122"/>
      <c r="BL452" s="122"/>
    </row>
    <row r="453" spans="62:64" x14ac:dyDescent="0.25">
      <c r="BJ453" s="122"/>
      <c r="BK453" s="122"/>
      <c r="BL453" s="122"/>
    </row>
    <row r="454" spans="62:64" x14ac:dyDescent="0.25">
      <c r="BJ454" s="122"/>
      <c r="BK454" s="122"/>
      <c r="BL454" s="122"/>
    </row>
    <row r="455" spans="62:64" x14ac:dyDescent="0.25">
      <c r="BJ455" s="122"/>
      <c r="BK455" s="122"/>
      <c r="BL455" s="122"/>
    </row>
    <row r="456" spans="62:64" x14ac:dyDescent="0.25">
      <c r="BJ456" s="122"/>
      <c r="BK456" s="122"/>
      <c r="BL456" s="122"/>
    </row>
    <row r="457" spans="62:64" x14ac:dyDescent="0.25">
      <c r="BJ457" s="122"/>
      <c r="BK457" s="122"/>
      <c r="BL457" s="122"/>
    </row>
    <row r="458" spans="62:64" x14ac:dyDescent="0.25">
      <c r="BJ458" s="122"/>
      <c r="BK458" s="122"/>
      <c r="BL458" s="122"/>
    </row>
    <row r="459" spans="62:64" x14ac:dyDescent="0.25">
      <c r="BJ459" s="122"/>
      <c r="BK459" s="122"/>
      <c r="BL459" s="122"/>
    </row>
    <row r="460" spans="62:64" x14ac:dyDescent="0.25">
      <c r="BJ460" s="122"/>
      <c r="BK460" s="122"/>
      <c r="BL460" s="122"/>
    </row>
    <row r="461" spans="62:64" x14ac:dyDescent="0.25">
      <c r="BJ461" s="122"/>
      <c r="BK461" s="122"/>
      <c r="BL461" s="122"/>
    </row>
    <row r="462" spans="62:64" x14ac:dyDescent="0.25">
      <c r="BJ462" s="122"/>
      <c r="BK462" s="122"/>
      <c r="BL462" s="122"/>
    </row>
    <row r="463" spans="62:64" x14ac:dyDescent="0.25">
      <c r="BJ463" s="122"/>
      <c r="BK463" s="122"/>
      <c r="BL463" s="122"/>
    </row>
    <row r="464" spans="62:64" x14ac:dyDescent="0.25">
      <c r="BJ464" s="122"/>
      <c r="BK464" s="122"/>
      <c r="BL464" s="122"/>
    </row>
    <row r="465" spans="62:64" x14ac:dyDescent="0.25">
      <c r="BJ465" s="122"/>
      <c r="BK465" s="122"/>
      <c r="BL465" s="122"/>
    </row>
    <row r="466" spans="62:64" x14ac:dyDescent="0.25">
      <c r="BJ466" s="122"/>
      <c r="BK466" s="122"/>
      <c r="BL466" s="122"/>
    </row>
    <row r="467" spans="62:64" x14ac:dyDescent="0.25">
      <c r="BJ467" s="122"/>
      <c r="BK467" s="122"/>
      <c r="BL467" s="122"/>
    </row>
    <row r="468" spans="62:64" x14ac:dyDescent="0.25">
      <c r="BJ468" s="122"/>
      <c r="BK468" s="122"/>
      <c r="BL468" s="122"/>
    </row>
    <row r="469" spans="62:64" x14ac:dyDescent="0.25">
      <c r="BJ469" s="122"/>
      <c r="BK469" s="122"/>
      <c r="BL469" s="122"/>
    </row>
    <row r="470" spans="62:64" x14ac:dyDescent="0.25">
      <c r="BJ470" s="122"/>
      <c r="BK470" s="122"/>
      <c r="BL470" s="122"/>
    </row>
    <row r="471" spans="62:64" x14ac:dyDescent="0.25">
      <c r="BJ471" s="122"/>
      <c r="BK471" s="122"/>
      <c r="BL471" s="122"/>
    </row>
    <row r="472" spans="62:64" x14ac:dyDescent="0.25">
      <c r="BJ472" s="122"/>
      <c r="BK472" s="122"/>
      <c r="BL472" s="122"/>
    </row>
    <row r="473" spans="62:64" x14ac:dyDescent="0.25">
      <c r="BJ473" s="122"/>
      <c r="BK473" s="122"/>
      <c r="BL473" s="122"/>
    </row>
    <row r="474" spans="62:64" x14ac:dyDescent="0.25">
      <c r="BJ474" s="122"/>
      <c r="BK474" s="122"/>
      <c r="BL474" s="122"/>
    </row>
    <row r="475" spans="62:64" x14ac:dyDescent="0.25">
      <c r="BJ475" s="122"/>
      <c r="BK475" s="122"/>
      <c r="BL475" s="122"/>
    </row>
    <row r="476" spans="62:64" x14ac:dyDescent="0.25">
      <c r="BJ476" s="122"/>
      <c r="BK476" s="122"/>
      <c r="BL476" s="122"/>
    </row>
    <row r="477" spans="62:64" x14ac:dyDescent="0.25">
      <c r="BJ477" s="122"/>
      <c r="BK477" s="122"/>
      <c r="BL477" s="122"/>
    </row>
    <row r="478" spans="62:64" x14ac:dyDescent="0.25">
      <c r="BJ478" s="122"/>
      <c r="BK478" s="122"/>
      <c r="BL478" s="122"/>
    </row>
    <row r="479" spans="62:64" x14ac:dyDescent="0.25">
      <c r="BJ479" s="122"/>
      <c r="BK479" s="122"/>
      <c r="BL479" s="122"/>
    </row>
    <row r="480" spans="62:64" x14ac:dyDescent="0.25">
      <c r="BJ480" s="122"/>
      <c r="BK480" s="122"/>
      <c r="BL480" s="122"/>
    </row>
    <row r="481" spans="62:64" x14ac:dyDescent="0.25">
      <c r="BJ481" s="122"/>
      <c r="BK481" s="122"/>
      <c r="BL481" s="122"/>
    </row>
    <row r="482" spans="62:64" x14ac:dyDescent="0.25">
      <c r="BJ482" s="122"/>
      <c r="BK482" s="122"/>
      <c r="BL482" s="122"/>
    </row>
    <row r="483" spans="62:64" x14ac:dyDescent="0.25">
      <c r="BJ483" s="122"/>
      <c r="BK483" s="122"/>
      <c r="BL483" s="122"/>
    </row>
    <row r="484" spans="62:64" x14ac:dyDescent="0.25">
      <c r="BJ484" s="122"/>
      <c r="BK484" s="122"/>
      <c r="BL484" s="122"/>
    </row>
    <row r="485" spans="62:64" x14ac:dyDescent="0.25">
      <c r="BJ485" s="122"/>
      <c r="BK485" s="122"/>
      <c r="BL485" s="122"/>
    </row>
    <row r="486" spans="62:64" x14ac:dyDescent="0.25">
      <c r="BJ486" s="122"/>
      <c r="BK486" s="122"/>
      <c r="BL486" s="122"/>
    </row>
    <row r="487" spans="62:64" x14ac:dyDescent="0.25">
      <c r="BJ487" s="122"/>
      <c r="BK487" s="122"/>
      <c r="BL487" s="122"/>
    </row>
    <row r="488" spans="62:64" x14ac:dyDescent="0.25">
      <c r="BJ488" s="122"/>
      <c r="BK488" s="122"/>
      <c r="BL488" s="122"/>
    </row>
    <row r="489" spans="62:64" x14ac:dyDescent="0.25">
      <c r="BJ489" s="122"/>
      <c r="BK489" s="122"/>
      <c r="BL489" s="122"/>
    </row>
    <row r="490" spans="62:64" x14ac:dyDescent="0.25">
      <c r="BJ490" s="122"/>
      <c r="BK490" s="122"/>
      <c r="BL490" s="122"/>
    </row>
    <row r="491" spans="62:64" x14ac:dyDescent="0.25">
      <c r="BJ491" s="122"/>
      <c r="BK491" s="122"/>
      <c r="BL491" s="122"/>
    </row>
    <row r="492" spans="62:64" x14ac:dyDescent="0.25">
      <c r="BJ492" s="122"/>
      <c r="BK492" s="122"/>
      <c r="BL492" s="122"/>
    </row>
    <row r="493" spans="62:64" x14ac:dyDescent="0.25">
      <c r="BJ493" s="122"/>
      <c r="BK493" s="122"/>
      <c r="BL493" s="122"/>
    </row>
    <row r="494" spans="62:64" x14ac:dyDescent="0.25">
      <c r="BJ494" s="122"/>
      <c r="BK494" s="122"/>
      <c r="BL494" s="122"/>
    </row>
    <row r="495" spans="62:64" x14ac:dyDescent="0.25">
      <c r="BJ495" s="122"/>
      <c r="BK495" s="122"/>
      <c r="BL495" s="122"/>
    </row>
    <row r="496" spans="62:64" x14ac:dyDescent="0.25">
      <c r="BJ496" s="122"/>
      <c r="BK496" s="122"/>
      <c r="BL496" s="122"/>
    </row>
    <row r="497" spans="62:64" x14ac:dyDescent="0.25">
      <c r="BJ497" s="122"/>
      <c r="BK497" s="122"/>
      <c r="BL497" s="122"/>
    </row>
    <row r="498" spans="62:64" x14ac:dyDescent="0.25">
      <c r="BJ498" s="122"/>
      <c r="BK498" s="122"/>
      <c r="BL498" s="122"/>
    </row>
    <row r="499" spans="62:64" x14ac:dyDescent="0.25">
      <c r="BJ499" s="122"/>
      <c r="BK499" s="122"/>
      <c r="BL499" s="122"/>
    </row>
    <row r="500" spans="62:64" x14ac:dyDescent="0.25">
      <c r="BJ500" s="122"/>
      <c r="BK500" s="122"/>
      <c r="BL500" s="122"/>
    </row>
    <row r="501" spans="62:64" x14ac:dyDescent="0.25">
      <c r="BJ501" s="122"/>
      <c r="BK501" s="122"/>
      <c r="BL501" s="122"/>
    </row>
    <row r="502" spans="62:64" x14ac:dyDescent="0.25">
      <c r="BJ502" s="122"/>
      <c r="BK502" s="122"/>
      <c r="BL502" s="122"/>
    </row>
    <row r="503" spans="62:64" x14ac:dyDescent="0.25">
      <c r="BJ503" s="122"/>
      <c r="BK503" s="122"/>
      <c r="BL503" s="122"/>
    </row>
    <row r="504" spans="62:64" x14ac:dyDescent="0.25">
      <c r="BJ504" s="122"/>
      <c r="BK504" s="122"/>
      <c r="BL504" s="122"/>
    </row>
    <row r="505" spans="62:64" x14ac:dyDescent="0.25">
      <c r="BJ505" s="122"/>
      <c r="BK505" s="122"/>
      <c r="BL505" s="122"/>
    </row>
    <row r="506" spans="62:64" x14ac:dyDescent="0.25">
      <c r="BJ506" s="122"/>
      <c r="BK506" s="122"/>
      <c r="BL506" s="122"/>
    </row>
    <row r="507" spans="62:64" x14ac:dyDescent="0.25">
      <c r="BJ507" s="122"/>
      <c r="BK507" s="122"/>
      <c r="BL507" s="122"/>
    </row>
    <row r="508" spans="62:64" x14ac:dyDescent="0.25">
      <c r="BJ508" s="122"/>
      <c r="BK508" s="122"/>
      <c r="BL508" s="122"/>
    </row>
    <row r="509" spans="62:64" x14ac:dyDescent="0.25">
      <c r="BJ509" s="122"/>
      <c r="BK509" s="122"/>
      <c r="BL509" s="122"/>
    </row>
    <row r="510" spans="62:64" x14ac:dyDescent="0.25">
      <c r="BJ510" s="122"/>
      <c r="BK510" s="122"/>
      <c r="BL510" s="122"/>
    </row>
    <row r="511" spans="62:64" x14ac:dyDescent="0.25">
      <c r="BJ511" s="122"/>
      <c r="BK511" s="122"/>
      <c r="BL511" s="122"/>
    </row>
    <row r="512" spans="62:64" x14ac:dyDescent="0.25">
      <c r="BJ512" s="122"/>
      <c r="BK512" s="122"/>
      <c r="BL512" s="122"/>
    </row>
    <row r="513" spans="62:64" x14ac:dyDescent="0.25">
      <c r="BJ513" s="122"/>
      <c r="BK513" s="122"/>
      <c r="BL513" s="122"/>
    </row>
    <row r="514" spans="62:64" x14ac:dyDescent="0.25">
      <c r="BJ514" s="122"/>
      <c r="BK514" s="122"/>
      <c r="BL514" s="122"/>
    </row>
    <row r="515" spans="62:64" x14ac:dyDescent="0.25">
      <c r="BJ515" s="122"/>
      <c r="BK515" s="122"/>
      <c r="BL515" s="122"/>
    </row>
    <row r="516" spans="62:64" x14ac:dyDescent="0.25">
      <c r="BJ516" s="122"/>
      <c r="BK516" s="122"/>
      <c r="BL516" s="122"/>
    </row>
    <row r="517" spans="62:64" x14ac:dyDescent="0.25">
      <c r="BJ517" s="122"/>
      <c r="BK517" s="122"/>
      <c r="BL517" s="122"/>
    </row>
    <row r="518" spans="62:64" x14ac:dyDescent="0.25">
      <c r="BJ518" s="122"/>
      <c r="BK518" s="122"/>
      <c r="BL518" s="122"/>
    </row>
    <row r="519" spans="62:64" x14ac:dyDescent="0.25">
      <c r="BJ519" s="122"/>
      <c r="BK519" s="122"/>
      <c r="BL519" s="122"/>
    </row>
    <row r="520" spans="62:64" x14ac:dyDescent="0.25">
      <c r="BJ520" s="122"/>
      <c r="BK520" s="122"/>
      <c r="BL520" s="122"/>
    </row>
    <row r="521" spans="62:64" x14ac:dyDescent="0.25">
      <c r="BJ521" s="122"/>
      <c r="BK521" s="122"/>
      <c r="BL521" s="122"/>
    </row>
    <row r="522" spans="62:64" x14ac:dyDescent="0.25">
      <c r="BJ522" s="122"/>
      <c r="BK522" s="122"/>
      <c r="BL522" s="122"/>
    </row>
    <row r="523" spans="62:64" x14ac:dyDescent="0.25">
      <c r="BJ523" s="122"/>
      <c r="BK523" s="122"/>
      <c r="BL523" s="122"/>
    </row>
    <row r="524" spans="62:64" x14ac:dyDescent="0.25">
      <c r="BJ524" s="122"/>
      <c r="BK524" s="122"/>
      <c r="BL524" s="122"/>
    </row>
    <row r="525" spans="62:64" x14ac:dyDescent="0.25">
      <c r="BJ525" s="122"/>
      <c r="BK525" s="122"/>
      <c r="BL525" s="122"/>
    </row>
    <row r="526" spans="62:64" x14ac:dyDescent="0.25">
      <c r="BJ526" s="122"/>
      <c r="BK526" s="122"/>
      <c r="BL526" s="122"/>
    </row>
    <row r="527" spans="62:64" x14ac:dyDescent="0.25">
      <c r="BJ527" s="122"/>
      <c r="BK527" s="122"/>
      <c r="BL527" s="122"/>
    </row>
    <row r="528" spans="62:64" x14ac:dyDescent="0.25">
      <c r="BJ528" s="122"/>
      <c r="BK528" s="122"/>
      <c r="BL528" s="122"/>
    </row>
    <row r="529" spans="62:64" x14ac:dyDescent="0.25">
      <c r="BJ529" s="122"/>
      <c r="BK529" s="122"/>
      <c r="BL529" s="122"/>
    </row>
    <row r="530" spans="62:64" x14ac:dyDescent="0.25">
      <c r="BJ530" s="122"/>
      <c r="BK530" s="122"/>
      <c r="BL530" s="122"/>
    </row>
    <row r="531" spans="62:64" x14ac:dyDescent="0.25">
      <c r="BJ531" s="122"/>
      <c r="BK531" s="122"/>
      <c r="BL531" s="122"/>
    </row>
    <row r="532" spans="62:64" x14ac:dyDescent="0.25">
      <c r="BJ532" s="122"/>
      <c r="BK532" s="122"/>
      <c r="BL532" s="122"/>
    </row>
    <row r="533" spans="62:64" x14ac:dyDescent="0.25">
      <c r="BJ533" s="122"/>
      <c r="BK533" s="122"/>
      <c r="BL533" s="122"/>
    </row>
    <row r="534" spans="62:64" x14ac:dyDescent="0.25">
      <c r="BJ534" s="122"/>
      <c r="BK534" s="122"/>
      <c r="BL534" s="122"/>
    </row>
    <row r="535" spans="62:64" x14ac:dyDescent="0.25">
      <c r="BJ535" s="122"/>
      <c r="BK535" s="122"/>
      <c r="BL535" s="122"/>
    </row>
    <row r="536" spans="62:64" x14ac:dyDescent="0.25">
      <c r="BJ536" s="122"/>
      <c r="BK536" s="122"/>
      <c r="BL536" s="122"/>
    </row>
    <row r="537" spans="62:64" x14ac:dyDescent="0.25">
      <c r="BJ537" s="122"/>
      <c r="BK537" s="122"/>
      <c r="BL537" s="122"/>
    </row>
    <row r="538" spans="62:64" x14ac:dyDescent="0.25">
      <c r="BJ538" s="122"/>
      <c r="BK538" s="122"/>
      <c r="BL538" s="122"/>
    </row>
    <row r="539" spans="62:64" x14ac:dyDescent="0.25">
      <c r="BJ539" s="122"/>
      <c r="BK539" s="122"/>
      <c r="BL539" s="122"/>
    </row>
    <row r="540" spans="62:64" x14ac:dyDescent="0.25">
      <c r="BJ540" s="122"/>
      <c r="BK540" s="122"/>
      <c r="BL540" s="122"/>
    </row>
    <row r="541" spans="62:64" x14ac:dyDescent="0.25">
      <c r="BJ541" s="122"/>
      <c r="BK541" s="122"/>
      <c r="BL541" s="122"/>
    </row>
    <row r="542" spans="62:64" x14ac:dyDescent="0.25">
      <c r="BJ542" s="122"/>
      <c r="BK542" s="122"/>
      <c r="BL542" s="122"/>
    </row>
    <row r="543" spans="62:64" x14ac:dyDescent="0.25">
      <c r="BJ543" s="122"/>
      <c r="BK543" s="122"/>
      <c r="BL543" s="122"/>
    </row>
    <row r="544" spans="62:64" x14ac:dyDescent="0.25">
      <c r="BJ544" s="122"/>
      <c r="BK544" s="122"/>
      <c r="BL544" s="122"/>
    </row>
    <row r="545" spans="62:64" x14ac:dyDescent="0.25">
      <c r="BJ545" s="122"/>
      <c r="BK545" s="122"/>
      <c r="BL545" s="122"/>
    </row>
    <row r="546" spans="62:64" x14ac:dyDescent="0.25">
      <c r="BJ546" s="122"/>
      <c r="BK546" s="122"/>
      <c r="BL546" s="122"/>
    </row>
    <row r="547" spans="62:64" x14ac:dyDescent="0.25">
      <c r="BJ547" s="122"/>
      <c r="BK547" s="122"/>
      <c r="BL547" s="122"/>
    </row>
    <row r="548" spans="62:64" x14ac:dyDescent="0.25">
      <c r="BJ548" s="122"/>
      <c r="BK548" s="122"/>
      <c r="BL548" s="122"/>
    </row>
    <row r="549" spans="62:64" x14ac:dyDescent="0.25">
      <c r="BJ549" s="122"/>
      <c r="BK549" s="122"/>
      <c r="BL549" s="122"/>
    </row>
    <row r="550" spans="62:64" x14ac:dyDescent="0.25">
      <c r="BJ550" s="122"/>
      <c r="BK550" s="122"/>
      <c r="BL550" s="122"/>
    </row>
    <row r="551" spans="62:64" x14ac:dyDescent="0.25">
      <c r="BJ551" s="122"/>
      <c r="BK551" s="122"/>
      <c r="BL551" s="122"/>
    </row>
    <row r="552" spans="62:64" x14ac:dyDescent="0.25">
      <c r="BJ552" s="122"/>
      <c r="BK552" s="122"/>
      <c r="BL552" s="122"/>
    </row>
    <row r="553" spans="62:64" x14ac:dyDescent="0.25">
      <c r="BJ553" s="122"/>
      <c r="BK553" s="122"/>
      <c r="BL553" s="122"/>
    </row>
    <row r="554" spans="62:64" x14ac:dyDescent="0.25">
      <c r="BJ554" s="122"/>
      <c r="BK554" s="122"/>
      <c r="BL554" s="122"/>
    </row>
    <row r="555" spans="62:64" x14ac:dyDescent="0.25">
      <c r="BJ555" s="122"/>
      <c r="BK555" s="122"/>
      <c r="BL555" s="122"/>
    </row>
    <row r="556" spans="62:64" x14ac:dyDescent="0.25">
      <c r="BJ556" s="122"/>
      <c r="BK556" s="122"/>
      <c r="BL556" s="122"/>
    </row>
    <row r="557" spans="62:64" x14ac:dyDescent="0.25">
      <c r="BJ557" s="122"/>
      <c r="BK557" s="122"/>
      <c r="BL557" s="122"/>
    </row>
    <row r="558" spans="62:64" x14ac:dyDescent="0.25">
      <c r="BJ558" s="122"/>
      <c r="BK558" s="122"/>
      <c r="BL558" s="122"/>
    </row>
    <row r="559" spans="62:64" x14ac:dyDescent="0.25">
      <c r="BJ559" s="122"/>
      <c r="BK559" s="122"/>
      <c r="BL559" s="122"/>
    </row>
    <row r="560" spans="62:64" x14ac:dyDescent="0.25">
      <c r="BJ560" s="122"/>
      <c r="BK560" s="122"/>
      <c r="BL560" s="122"/>
    </row>
    <row r="561" spans="62:64" x14ac:dyDescent="0.25">
      <c r="BJ561" s="122"/>
      <c r="BK561" s="122"/>
      <c r="BL561" s="122"/>
    </row>
    <row r="562" spans="62:64" x14ac:dyDescent="0.25">
      <c r="BJ562" s="122"/>
      <c r="BK562" s="122"/>
      <c r="BL562" s="122"/>
    </row>
    <row r="563" spans="62:64" x14ac:dyDescent="0.25">
      <c r="BJ563" s="122"/>
      <c r="BK563" s="122"/>
      <c r="BL563" s="122"/>
    </row>
    <row r="564" spans="62:64" x14ac:dyDescent="0.25">
      <c r="BJ564" s="122"/>
      <c r="BK564" s="122"/>
      <c r="BL564" s="122"/>
    </row>
    <row r="565" spans="62:64" x14ac:dyDescent="0.25">
      <c r="BJ565" s="122"/>
      <c r="BK565" s="122"/>
      <c r="BL565" s="122"/>
    </row>
    <row r="566" spans="62:64" x14ac:dyDescent="0.25">
      <c r="BJ566" s="122"/>
      <c r="BK566" s="122"/>
      <c r="BL566" s="122"/>
    </row>
    <row r="567" spans="62:64" x14ac:dyDescent="0.25">
      <c r="BJ567" s="122"/>
      <c r="BK567" s="122"/>
      <c r="BL567" s="122"/>
    </row>
    <row r="568" spans="62:64" x14ac:dyDescent="0.25">
      <c r="BJ568" s="122"/>
      <c r="BK568" s="122"/>
      <c r="BL568" s="122"/>
    </row>
    <row r="569" spans="62:64" x14ac:dyDescent="0.25">
      <c r="BJ569" s="122"/>
      <c r="BK569" s="122"/>
      <c r="BL569" s="122"/>
    </row>
    <row r="570" spans="62:64" x14ac:dyDescent="0.25">
      <c r="BJ570" s="122"/>
      <c r="BK570" s="122"/>
      <c r="BL570" s="122"/>
    </row>
    <row r="571" spans="62:64" x14ac:dyDescent="0.25">
      <c r="BJ571" s="122"/>
      <c r="BK571" s="122"/>
      <c r="BL571" s="122"/>
    </row>
    <row r="572" spans="62:64" x14ac:dyDescent="0.25">
      <c r="BJ572" s="122"/>
      <c r="BK572" s="122"/>
      <c r="BL572" s="122"/>
    </row>
    <row r="573" spans="62:64" x14ac:dyDescent="0.25">
      <c r="BJ573" s="122"/>
      <c r="BK573" s="122"/>
      <c r="BL573" s="122"/>
    </row>
    <row r="574" spans="62:64" x14ac:dyDescent="0.25">
      <c r="BJ574" s="122"/>
      <c r="BK574" s="122"/>
      <c r="BL574" s="122"/>
    </row>
    <row r="575" spans="62:64" x14ac:dyDescent="0.25">
      <c r="BJ575" s="122"/>
      <c r="BK575" s="122"/>
      <c r="BL575" s="122"/>
    </row>
    <row r="576" spans="62:64" x14ac:dyDescent="0.25">
      <c r="BJ576" s="122"/>
      <c r="BK576" s="122"/>
      <c r="BL576" s="122"/>
    </row>
    <row r="577" spans="62:64" x14ac:dyDescent="0.25">
      <c r="BJ577" s="122"/>
      <c r="BK577" s="122"/>
      <c r="BL577" s="122"/>
    </row>
    <row r="578" spans="62:64" x14ac:dyDescent="0.25">
      <c r="BJ578" s="122"/>
      <c r="BK578" s="122"/>
      <c r="BL578" s="122"/>
    </row>
    <row r="579" spans="62:64" x14ac:dyDescent="0.25">
      <c r="BJ579" s="122"/>
      <c r="BK579" s="122"/>
      <c r="BL579" s="122"/>
    </row>
    <row r="580" spans="62:64" x14ac:dyDescent="0.25">
      <c r="BJ580" s="122"/>
      <c r="BK580" s="122"/>
      <c r="BL580" s="122"/>
    </row>
    <row r="581" spans="62:64" x14ac:dyDescent="0.25">
      <c r="BJ581" s="122"/>
      <c r="BK581" s="122"/>
      <c r="BL581" s="122"/>
    </row>
    <row r="582" spans="62:64" x14ac:dyDescent="0.25">
      <c r="BJ582" s="122"/>
      <c r="BK582" s="122"/>
      <c r="BL582" s="122"/>
    </row>
    <row r="583" spans="62:64" x14ac:dyDescent="0.25">
      <c r="BJ583" s="122"/>
      <c r="BK583" s="122"/>
      <c r="BL583" s="122"/>
    </row>
    <row r="584" spans="62:64" x14ac:dyDescent="0.25">
      <c r="BJ584" s="122"/>
      <c r="BK584" s="122"/>
      <c r="BL584" s="122"/>
    </row>
    <row r="585" spans="62:64" x14ac:dyDescent="0.25">
      <c r="BJ585" s="122"/>
      <c r="BK585" s="122"/>
      <c r="BL585" s="122"/>
    </row>
    <row r="586" spans="62:64" x14ac:dyDescent="0.25">
      <c r="BJ586" s="122"/>
      <c r="BK586" s="122"/>
      <c r="BL586" s="122"/>
    </row>
    <row r="587" spans="62:64" x14ac:dyDescent="0.25">
      <c r="BJ587" s="122"/>
      <c r="BK587" s="122"/>
      <c r="BL587" s="122"/>
    </row>
    <row r="588" spans="62:64" x14ac:dyDescent="0.25">
      <c r="BJ588" s="122"/>
      <c r="BK588" s="122"/>
      <c r="BL588" s="122"/>
    </row>
    <row r="589" spans="62:64" x14ac:dyDescent="0.25">
      <c r="BJ589" s="122"/>
      <c r="BK589" s="122"/>
      <c r="BL589" s="122"/>
    </row>
    <row r="590" spans="62:64" x14ac:dyDescent="0.25">
      <c r="BJ590" s="122"/>
      <c r="BK590" s="122"/>
      <c r="BL590" s="122"/>
    </row>
    <row r="591" spans="62:64" x14ac:dyDescent="0.25">
      <c r="BJ591" s="122"/>
      <c r="BK591" s="122"/>
      <c r="BL591" s="122"/>
    </row>
    <row r="592" spans="62:64" x14ac:dyDescent="0.25">
      <c r="BJ592" s="122"/>
      <c r="BK592" s="122"/>
      <c r="BL592" s="122"/>
    </row>
    <row r="593" spans="62:64" x14ac:dyDescent="0.25">
      <c r="BJ593" s="122"/>
      <c r="BK593" s="122"/>
      <c r="BL593" s="122"/>
    </row>
    <row r="594" spans="62:64" x14ac:dyDescent="0.25">
      <c r="BJ594" s="122"/>
      <c r="BK594" s="122"/>
      <c r="BL594" s="122"/>
    </row>
    <row r="595" spans="62:64" x14ac:dyDescent="0.25">
      <c r="BJ595" s="122"/>
      <c r="BK595" s="122"/>
      <c r="BL595" s="122"/>
    </row>
    <row r="596" spans="62:64" x14ac:dyDescent="0.25">
      <c r="BJ596" s="122"/>
      <c r="BK596" s="122"/>
      <c r="BL596" s="122"/>
    </row>
    <row r="597" spans="62:64" x14ac:dyDescent="0.25">
      <c r="BJ597" s="122"/>
      <c r="BK597" s="122"/>
      <c r="BL597" s="122"/>
    </row>
    <row r="598" spans="62:64" x14ac:dyDescent="0.25">
      <c r="BJ598" s="122"/>
      <c r="BK598" s="122"/>
      <c r="BL598" s="122"/>
    </row>
    <row r="599" spans="62:64" x14ac:dyDescent="0.25">
      <c r="BJ599" s="122"/>
      <c r="BK599" s="122"/>
      <c r="BL599" s="122"/>
    </row>
    <row r="600" spans="62:64" x14ac:dyDescent="0.25">
      <c r="BJ600" s="122"/>
      <c r="BK600" s="122"/>
      <c r="BL600" s="122"/>
    </row>
    <row r="601" spans="62:64" x14ac:dyDescent="0.25">
      <c r="BJ601" s="122"/>
      <c r="BK601" s="122"/>
      <c r="BL601" s="122"/>
    </row>
    <row r="602" spans="62:64" x14ac:dyDescent="0.25">
      <c r="BJ602" s="122"/>
      <c r="BK602" s="122"/>
      <c r="BL602" s="122"/>
    </row>
    <row r="603" spans="62:64" x14ac:dyDescent="0.25">
      <c r="BJ603" s="122"/>
      <c r="BK603" s="122"/>
      <c r="BL603" s="122"/>
    </row>
    <row r="604" spans="62:64" x14ac:dyDescent="0.25">
      <c r="BJ604" s="122"/>
      <c r="BK604" s="122"/>
      <c r="BL604" s="122"/>
    </row>
    <row r="605" spans="62:64" x14ac:dyDescent="0.25">
      <c r="BJ605" s="122"/>
      <c r="BK605" s="122"/>
      <c r="BL605" s="122"/>
    </row>
    <row r="606" spans="62:64" x14ac:dyDescent="0.25">
      <c r="BJ606" s="122"/>
      <c r="BK606" s="122"/>
      <c r="BL606" s="122"/>
    </row>
    <row r="607" spans="62:64" x14ac:dyDescent="0.25">
      <c r="BJ607" s="122"/>
      <c r="BK607" s="122"/>
      <c r="BL607" s="122"/>
    </row>
    <row r="608" spans="62:64" x14ac:dyDescent="0.25">
      <c r="BJ608" s="122"/>
      <c r="BK608" s="122"/>
      <c r="BL608" s="122"/>
    </row>
    <row r="609" spans="62:64" x14ac:dyDescent="0.25">
      <c r="BJ609" s="122"/>
      <c r="BK609" s="122"/>
      <c r="BL609" s="122"/>
    </row>
    <row r="610" spans="62:64" x14ac:dyDescent="0.25">
      <c r="BJ610" s="122"/>
      <c r="BK610" s="122"/>
      <c r="BL610" s="122"/>
    </row>
    <row r="611" spans="62:64" x14ac:dyDescent="0.25">
      <c r="BJ611" s="122"/>
      <c r="BK611" s="122"/>
      <c r="BL611" s="122"/>
    </row>
    <row r="612" spans="62:64" x14ac:dyDescent="0.25">
      <c r="BJ612" s="122"/>
      <c r="BK612" s="122"/>
      <c r="BL612" s="122"/>
    </row>
    <row r="613" spans="62:64" x14ac:dyDescent="0.25">
      <c r="BJ613" s="122"/>
      <c r="BK613" s="122"/>
      <c r="BL613" s="122"/>
    </row>
    <row r="614" spans="62:64" x14ac:dyDescent="0.25">
      <c r="BJ614" s="122"/>
      <c r="BK614" s="122"/>
      <c r="BL614" s="122"/>
    </row>
    <row r="615" spans="62:64" x14ac:dyDescent="0.25">
      <c r="BJ615" s="122"/>
      <c r="BK615" s="122"/>
      <c r="BL615" s="122"/>
    </row>
    <row r="616" spans="62:64" x14ac:dyDescent="0.25">
      <c r="BJ616" s="122"/>
      <c r="BK616" s="122"/>
      <c r="BL616" s="122"/>
    </row>
    <row r="617" spans="62:64" x14ac:dyDescent="0.25">
      <c r="BJ617" s="122"/>
      <c r="BK617" s="122"/>
      <c r="BL617" s="122"/>
    </row>
    <row r="618" spans="62:64" x14ac:dyDescent="0.25">
      <c r="BJ618" s="122"/>
      <c r="BK618" s="122"/>
      <c r="BL618" s="122"/>
    </row>
    <row r="619" spans="62:64" x14ac:dyDescent="0.25">
      <c r="BJ619" s="122"/>
      <c r="BK619" s="122"/>
      <c r="BL619" s="122"/>
    </row>
    <row r="620" spans="62:64" x14ac:dyDescent="0.25">
      <c r="BJ620" s="122"/>
      <c r="BK620" s="122"/>
      <c r="BL620" s="122"/>
    </row>
    <row r="621" spans="62:64" x14ac:dyDescent="0.25">
      <c r="BJ621" s="122"/>
      <c r="BK621" s="122"/>
      <c r="BL621" s="122"/>
    </row>
    <row r="622" spans="62:64" x14ac:dyDescent="0.25">
      <c r="BJ622" s="122"/>
      <c r="BK622" s="122"/>
      <c r="BL622" s="122"/>
    </row>
    <row r="623" spans="62:64" x14ac:dyDescent="0.25">
      <c r="BJ623" s="122"/>
      <c r="BK623" s="122"/>
      <c r="BL623" s="122"/>
    </row>
    <row r="624" spans="62:64" x14ac:dyDescent="0.25">
      <c r="BJ624" s="122"/>
      <c r="BK624" s="122"/>
      <c r="BL624" s="122"/>
    </row>
    <row r="625" spans="62:64" x14ac:dyDescent="0.25">
      <c r="BJ625" s="122"/>
      <c r="BK625" s="122"/>
      <c r="BL625" s="122"/>
    </row>
    <row r="626" spans="62:64" x14ac:dyDescent="0.25">
      <c r="BJ626" s="122"/>
      <c r="BK626" s="122"/>
      <c r="BL626" s="122"/>
    </row>
    <row r="627" spans="62:64" x14ac:dyDescent="0.25">
      <c r="BJ627" s="122"/>
      <c r="BK627" s="122"/>
      <c r="BL627" s="122"/>
    </row>
    <row r="628" spans="62:64" x14ac:dyDescent="0.25">
      <c r="BJ628" s="122"/>
      <c r="BK628" s="122"/>
      <c r="BL628" s="122"/>
    </row>
    <row r="629" spans="62:64" x14ac:dyDescent="0.25">
      <c r="BJ629" s="122"/>
      <c r="BK629" s="122"/>
      <c r="BL629" s="122"/>
    </row>
    <row r="630" spans="62:64" x14ac:dyDescent="0.25">
      <c r="BJ630" s="122"/>
      <c r="BK630" s="122"/>
      <c r="BL630" s="122"/>
    </row>
    <row r="631" spans="62:64" x14ac:dyDescent="0.25">
      <c r="BJ631" s="122"/>
      <c r="BK631" s="122"/>
      <c r="BL631" s="122"/>
    </row>
    <row r="632" spans="62:64" x14ac:dyDescent="0.25">
      <c r="BJ632" s="122"/>
      <c r="BK632" s="122"/>
      <c r="BL632" s="122"/>
    </row>
    <row r="633" spans="62:64" x14ac:dyDescent="0.25">
      <c r="BJ633" s="122"/>
      <c r="BK633" s="122"/>
      <c r="BL633" s="122"/>
    </row>
    <row r="634" spans="62:64" x14ac:dyDescent="0.25">
      <c r="BJ634" s="122"/>
      <c r="BK634" s="122"/>
      <c r="BL634" s="122"/>
    </row>
    <row r="635" spans="62:64" x14ac:dyDescent="0.25">
      <c r="BJ635" s="122"/>
      <c r="BK635" s="122"/>
      <c r="BL635" s="122"/>
    </row>
    <row r="636" spans="62:64" x14ac:dyDescent="0.25">
      <c r="BJ636" s="122"/>
      <c r="BK636" s="122"/>
      <c r="BL636" s="122"/>
    </row>
    <row r="637" spans="62:64" x14ac:dyDescent="0.25">
      <c r="BJ637" s="122"/>
      <c r="BK637" s="122"/>
      <c r="BL637" s="122"/>
    </row>
    <row r="638" spans="62:64" x14ac:dyDescent="0.25">
      <c r="BJ638" s="122"/>
      <c r="BK638" s="122"/>
      <c r="BL638" s="122"/>
    </row>
    <row r="639" spans="62:64" x14ac:dyDescent="0.25">
      <c r="BJ639" s="122"/>
      <c r="BK639" s="122"/>
      <c r="BL639" s="122"/>
    </row>
    <row r="640" spans="62:64" x14ac:dyDescent="0.25">
      <c r="BJ640" s="122"/>
      <c r="BK640" s="122"/>
      <c r="BL640" s="122"/>
    </row>
    <row r="641" spans="62:64" x14ac:dyDescent="0.25">
      <c r="BJ641" s="122"/>
      <c r="BK641" s="122"/>
      <c r="BL641" s="122"/>
    </row>
    <row r="642" spans="62:64" x14ac:dyDescent="0.25">
      <c r="BJ642" s="122"/>
      <c r="BK642" s="122"/>
      <c r="BL642" s="122"/>
    </row>
    <row r="643" spans="62:64" x14ac:dyDescent="0.25">
      <c r="BJ643" s="122"/>
      <c r="BK643" s="122"/>
      <c r="BL643" s="122"/>
    </row>
    <row r="644" spans="62:64" x14ac:dyDescent="0.25">
      <c r="BJ644" s="122"/>
      <c r="BK644" s="122"/>
      <c r="BL644" s="122"/>
    </row>
    <row r="645" spans="62:64" x14ac:dyDescent="0.25">
      <c r="BJ645" s="122"/>
      <c r="BK645" s="122"/>
      <c r="BL645" s="122"/>
    </row>
    <row r="646" spans="62:64" x14ac:dyDescent="0.25">
      <c r="BJ646" s="122"/>
      <c r="BK646" s="122"/>
      <c r="BL646" s="122"/>
    </row>
    <row r="647" spans="62:64" x14ac:dyDescent="0.25">
      <c r="BJ647" s="122"/>
      <c r="BK647" s="122"/>
      <c r="BL647" s="122"/>
    </row>
    <row r="648" spans="62:64" x14ac:dyDescent="0.25">
      <c r="BJ648" s="122"/>
      <c r="BK648" s="122"/>
      <c r="BL648" s="122"/>
    </row>
    <row r="649" spans="62:64" x14ac:dyDescent="0.25">
      <c r="BJ649" s="122"/>
      <c r="BK649" s="122"/>
      <c r="BL649" s="122"/>
    </row>
    <row r="650" spans="62:64" x14ac:dyDescent="0.25">
      <c r="BJ650" s="122"/>
      <c r="BK650" s="122"/>
      <c r="BL650" s="122"/>
    </row>
    <row r="651" spans="62:64" x14ac:dyDescent="0.25">
      <c r="BJ651" s="122"/>
      <c r="BK651" s="122"/>
      <c r="BL651" s="122"/>
    </row>
    <row r="652" spans="62:64" x14ac:dyDescent="0.25">
      <c r="BJ652" s="122"/>
      <c r="BK652" s="122"/>
      <c r="BL652" s="122"/>
    </row>
    <row r="653" spans="62:64" x14ac:dyDescent="0.25">
      <c r="BJ653" s="122"/>
      <c r="BK653" s="122"/>
      <c r="BL653" s="122"/>
    </row>
    <row r="654" spans="62:64" x14ac:dyDescent="0.25">
      <c r="BJ654" s="122"/>
      <c r="BK654" s="122"/>
      <c r="BL654" s="122"/>
    </row>
    <row r="655" spans="62:64" x14ac:dyDescent="0.25">
      <c r="BJ655" s="122"/>
      <c r="BK655" s="122"/>
      <c r="BL655" s="122"/>
    </row>
    <row r="656" spans="62:64" x14ac:dyDescent="0.25">
      <c r="BJ656" s="122"/>
      <c r="BK656" s="122"/>
      <c r="BL656" s="122"/>
    </row>
    <row r="657" spans="62:64" x14ac:dyDescent="0.25">
      <c r="BJ657" s="122"/>
      <c r="BK657" s="122"/>
      <c r="BL657" s="122"/>
    </row>
    <row r="658" spans="62:64" x14ac:dyDescent="0.25">
      <c r="BJ658" s="122"/>
      <c r="BK658" s="122"/>
      <c r="BL658" s="122"/>
    </row>
    <row r="659" spans="62:64" x14ac:dyDescent="0.25">
      <c r="BJ659" s="122"/>
      <c r="BK659" s="122"/>
      <c r="BL659" s="122"/>
    </row>
    <row r="660" spans="62:64" x14ac:dyDescent="0.25">
      <c r="BJ660" s="122"/>
      <c r="BK660" s="122"/>
      <c r="BL660" s="122"/>
    </row>
    <row r="661" spans="62:64" x14ac:dyDescent="0.25">
      <c r="BJ661" s="122"/>
      <c r="BK661" s="122"/>
      <c r="BL661" s="122"/>
    </row>
    <row r="662" spans="62:64" x14ac:dyDescent="0.25">
      <c r="BJ662" s="122"/>
      <c r="BK662" s="122"/>
      <c r="BL662" s="122"/>
    </row>
    <row r="663" spans="62:64" x14ac:dyDescent="0.25">
      <c r="BJ663" s="122"/>
      <c r="BK663" s="122"/>
      <c r="BL663" s="122"/>
    </row>
    <row r="664" spans="62:64" x14ac:dyDescent="0.25">
      <c r="BJ664" s="122"/>
      <c r="BK664" s="122"/>
      <c r="BL664" s="122"/>
    </row>
    <row r="665" spans="62:64" x14ac:dyDescent="0.25">
      <c r="BJ665" s="122"/>
      <c r="BK665" s="122"/>
      <c r="BL665" s="122"/>
    </row>
    <row r="666" spans="62:64" x14ac:dyDescent="0.25">
      <c r="BJ666" s="122"/>
      <c r="BK666" s="122"/>
      <c r="BL666" s="122"/>
    </row>
    <row r="667" spans="62:64" x14ac:dyDescent="0.25">
      <c r="BJ667" s="122"/>
      <c r="BK667" s="122"/>
      <c r="BL667" s="122"/>
    </row>
    <row r="668" spans="62:64" x14ac:dyDescent="0.25">
      <c r="BJ668" s="122"/>
      <c r="BK668" s="122"/>
      <c r="BL668" s="122"/>
    </row>
    <row r="669" spans="62:64" x14ac:dyDescent="0.25">
      <c r="BJ669" s="122"/>
      <c r="BK669" s="122"/>
      <c r="BL669" s="122"/>
    </row>
    <row r="670" spans="62:64" x14ac:dyDescent="0.25">
      <c r="BJ670" s="122"/>
      <c r="BK670" s="122"/>
      <c r="BL670" s="122"/>
    </row>
    <row r="671" spans="62:64" x14ac:dyDescent="0.25">
      <c r="BJ671" s="122"/>
      <c r="BK671" s="122"/>
      <c r="BL671" s="122"/>
    </row>
    <row r="672" spans="62:64" x14ac:dyDescent="0.25">
      <c r="BJ672" s="122"/>
      <c r="BK672" s="122"/>
      <c r="BL672" s="122"/>
    </row>
    <row r="673" spans="62:64" x14ac:dyDescent="0.25">
      <c r="BJ673" s="122"/>
      <c r="BK673" s="122"/>
      <c r="BL673" s="122"/>
    </row>
    <row r="674" spans="62:64" x14ac:dyDescent="0.25">
      <c r="BJ674" s="122"/>
      <c r="BK674" s="122"/>
      <c r="BL674" s="122"/>
    </row>
    <row r="675" spans="62:64" x14ac:dyDescent="0.25">
      <c r="BJ675" s="122"/>
      <c r="BK675" s="122"/>
      <c r="BL675" s="122"/>
    </row>
    <row r="676" spans="62:64" x14ac:dyDescent="0.25">
      <c r="BJ676" s="122"/>
      <c r="BK676" s="122"/>
      <c r="BL676" s="122"/>
    </row>
    <row r="677" spans="62:64" x14ac:dyDescent="0.25">
      <c r="BJ677" s="122"/>
      <c r="BK677" s="122"/>
      <c r="BL677" s="122"/>
    </row>
    <row r="678" spans="62:64" x14ac:dyDescent="0.25">
      <c r="BJ678" s="122"/>
      <c r="BK678" s="122"/>
      <c r="BL678" s="122"/>
    </row>
    <row r="679" spans="62:64" x14ac:dyDescent="0.25">
      <c r="BJ679" s="122"/>
      <c r="BK679" s="122"/>
      <c r="BL679" s="122"/>
    </row>
    <row r="680" spans="62:64" x14ac:dyDescent="0.25">
      <c r="BJ680" s="122"/>
      <c r="BK680" s="122"/>
      <c r="BL680" s="122"/>
    </row>
    <row r="681" spans="62:64" x14ac:dyDescent="0.25">
      <c r="BJ681" s="122"/>
      <c r="BK681" s="122"/>
      <c r="BL681" s="122"/>
    </row>
    <row r="682" spans="62:64" x14ac:dyDescent="0.25">
      <c r="BJ682" s="122"/>
      <c r="BK682" s="122"/>
      <c r="BL682" s="122"/>
    </row>
    <row r="683" spans="62:64" x14ac:dyDescent="0.25">
      <c r="BJ683" s="122"/>
      <c r="BK683" s="122"/>
      <c r="BL683" s="122"/>
    </row>
    <row r="684" spans="62:64" x14ac:dyDescent="0.25">
      <c r="BJ684" s="122"/>
      <c r="BK684" s="122"/>
      <c r="BL684" s="122"/>
    </row>
    <row r="685" spans="62:64" x14ac:dyDescent="0.25">
      <c r="BJ685" s="122"/>
      <c r="BK685" s="122"/>
      <c r="BL685" s="122"/>
    </row>
    <row r="686" spans="62:64" x14ac:dyDescent="0.25">
      <c r="BJ686" s="122"/>
      <c r="BK686" s="122"/>
      <c r="BL686" s="122"/>
    </row>
    <row r="687" spans="62:64" x14ac:dyDescent="0.25">
      <c r="BJ687" s="122"/>
      <c r="BK687" s="122"/>
      <c r="BL687" s="122"/>
    </row>
    <row r="688" spans="62:64" x14ac:dyDescent="0.25">
      <c r="BJ688" s="122"/>
      <c r="BK688" s="122"/>
      <c r="BL688" s="122"/>
    </row>
    <row r="689" spans="62:64" x14ac:dyDescent="0.25">
      <c r="BJ689" s="122"/>
      <c r="BK689" s="122"/>
      <c r="BL689" s="122"/>
    </row>
    <row r="690" spans="62:64" x14ac:dyDescent="0.25">
      <c r="BJ690" s="122"/>
      <c r="BK690" s="122"/>
      <c r="BL690" s="122"/>
    </row>
    <row r="691" spans="62:64" x14ac:dyDescent="0.25">
      <c r="BJ691" s="122"/>
      <c r="BK691" s="122"/>
      <c r="BL691" s="122"/>
    </row>
    <row r="692" spans="62:64" x14ac:dyDescent="0.25">
      <c r="BJ692" s="122"/>
      <c r="BK692" s="122"/>
      <c r="BL692" s="122"/>
    </row>
    <row r="693" spans="62:64" x14ac:dyDescent="0.25">
      <c r="BJ693" s="122"/>
      <c r="BK693" s="122"/>
      <c r="BL693" s="122"/>
    </row>
    <row r="694" spans="62:64" x14ac:dyDescent="0.25">
      <c r="BJ694" s="122"/>
      <c r="BK694" s="122"/>
      <c r="BL694" s="122"/>
    </row>
    <row r="695" spans="62:64" x14ac:dyDescent="0.25">
      <c r="BJ695" s="122"/>
      <c r="BK695" s="122"/>
      <c r="BL695" s="122"/>
    </row>
    <row r="696" spans="62:64" x14ac:dyDescent="0.25">
      <c r="BJ696" s="122"/>
      <c r="BK696" s="122"/>
      <c r="BL696" s="122"/>
    </row>
    <row r="697" spans="62:64" x14ac:dyDescent="0.25">
      <c r="BJ697" s="122"/>
      <c r="BK697" s="122"/>
      <c r="BL697" s="122"/>
    </row>
    <row r="698" spans="62:64" x14ac:dyDescent="0.25">
      <c r="BJ698" s="122"/>
      <c r="BK698" s="122"/>
      <c r="BL698" s="122"/>
    </row>
    <row r="699" spans="62:64" x14ac:dyDescent="0.25">
      <c r="BJ699" s="122"/>
      <c r="BK699" s="122"/>
      <c r="BL699" s="122"/>
    </row>
    <row r="700" spans="62:64" x14ac:dyDescent="0.25">
      <c r="BJ700" s="122"/>
      <c r="BK700" s="122"/>
      <c r="BL700" s="122"/>
    </row>
    <row r="701" spans="62:64" x14ac:dyDescent="0.25">
      <c r="BJ701" s="122"/>
      <c r="BK701" s="122"/>
      <c r="BL701" s="122"/>
    </row>
    <row r="702" spans="62:64" x14ac:dyDescent="0.25">
      <c r="BJ702" s="122"/>
      <c r="BK702" s="122"/>
      <c r="BL702" s="122"/>
    </row>
    <row r="703" spans="62:64" x14ac:dyDescent="0.25">
      <c r="BJ703" s="122"/>
      <c r="BK703" s="122"/>
      <c r="BL703" s="122"/>
    </row>
    <row r="704" spans="62:64" x14ac:dyDescent="0.25">
      <c r="BJ704" s="122"/>
      <c r="BK704" s="122"/>
      <c r="BL704" s="122"/>
    </row>
    <row r="705" spans="62:64" x14ac:dyDescent="0.25">
      <c r="BJ705" s="122"/>
      <c r="BK705" s="122"/>
      <c r="BL705" s="122"/>
    </row>
    <row r="706" spans="62:64" x14ac:dyDescent="0.25">
      <c r="BJ706" s="122"/>
      <c r="BK706" s="122"/>
      <c r="BL706" s="122"/>
    </row>
    <row r="707" spans="62:64" x14ac:dyDescent="0.25">
      <c r="BJ707" s="122"/>
      <c r="BK707" s="122"/>
      <c r="BL707" s="122"/>
    </row>
    <row r="708" spans="62:64" x14ac:dyDescent="0.25">
      <c r="BJ708" s="122"/>
      <c r="BK708" s="122"/>
      <c r="BL708" s="122"/>
    </row>
    <row r="709" spans="62:64" x14ac:dyDescent="0.25">
      <c r="BJ709" s="122"/>
      <c r="BK709" s="122"/>
      <c r="BL709" s="122"/>
    </row>
    <row r="710" spans="62:64" x14ac:dyDescent="0.25">
      <c r="BJ710" s="122"/>
      <c r="BK710" s="122"/>
      <c r="BL710" s="122"/>
    </row>
    <row r="711" spans="62:64" x14ac:dyDescent="0.25">
      <c r="BJ711" s="122"/>
      <c r="BK711" s="122"/>
      <c r="BL711" s="122"/>
    </row>
    <row r="712" spans="62:64" x14ac:dyDescent="0.25">
      <c r="BJ712" s="122"/>
      <c r="BK712" s="122"/>
      <c r="BL712" s="122"/>
    </row>
    <row r="713" spans="62:64" x14ac:dyDescent="0.25">
      <c r="BJ713" s="122"/>
      <c r="BK713" s="122"/>
      <c r="BL713" s="122"/>
    </row>
    <row r="714" spans="62:64" x14ac:dyDescent="0.25">
      <c r="BJ714" s="122"/>
      <c r="BK714" s="122"/>
      <c r="BL714" s="122"/>
    </row>
    <row r="715" spans="62:64" x14ac:dyDescent="0.25">
      <c r="BJ715" s="122"/>
      <c r="BK715" s="122"/>
      <c r="BL715" s="122"/>
    </row>
    <row r="716" spans="62:64" x14ac:dyDescent="0.25">
      <c r="BJ716" s="122"/>
      <c r="BK716" s="122"/>
      <c r="BL716" s="122"/>
    </row>
    <row r="717" spans="62:64" x14ac:dyDescent="0.25">
      <c r="BJ717" s="122"/>
      <c r="BK717" s="122"/>
      <c r="BL717" s="122"/>
    </row>
    <row r="718" spans="62:64" x14ac:dyDescent="0.25">
      <c r="BJ718" s="122"/>
      <c r="BK718" s="122"/>
      <c r="BL718" s="122"/>
    </row>
    <row r="719" spans="62:64" x14ac:dyDescent="0.25">
      <c r="BJ719" s="122"/>
      <c r="BK719" s="122"/>
      <c r="BL719" s="122"/>
    </row>
    <row r="720" spans="62:64" x14ac:dyDescent="0.25">
      <c r="BJ720" s="122"/>
      <c r="BK720" s="122"/>
      <c r="BL720" s="122"/>
    </row>
    <row r="721" spans="62:64" x14ac:dyDescent="0.25">
      <c r="BJ721" s="122"/>
      <c r="BK721" s="122"/>
      <c r="BL721" s="122"/>
    </row>
    <row r="722" spans="62:64" x14ac:dyDescent="0.25">
      <c r="BJ722" s="122"/>
      <c r="BK722" s="122"/>
      <c r="BL722" s="122"/>
    </row>
    <row r="723" spans="62:64" x14ac:dyDescent="0.25">
      <c r="BJ723" s="122"/>
      <c r="BK723" s="122"/>
      <c r="BL723" s="122"/>
    </row>
    <row r="724" spans="62:64" x14ac:dyDescent="0.25">
      <c r="BJ724" s="122"/>
      <c r="BK724" s="122"/>
      <c r="BL724" s="122"/>
    </row>
    <row r="725" spans="62:64" x14ac:dyDescent="0.25">
      <c r="BJ725" s="122"/>
      <c r="BK725" s="122"/>
      <c r="BL725" s="122"/>
    </row>
    <row r="726" spans="62:64" x14ac:dyDescent="0.25">
      <c r="BJ726" s="122"/>
      <c r="BK726" s="122"/>
      <c r="BL726" s="122"/>
    </row>
    <row r="727" spans="62:64" x14ac:dyDescent="0.25">
      <c r="BJ727" s="122"/>
      <c r="BK727" s="122"/>
      <c r="BL727" s="122"/>
    </row>
    <row r="728" spans="62:64" x14ac:dyDescent="0.25">
      <c r="BJ728" s="122"/>
      <c r="BK728" s="122"/>
      <c r="BL728" s="122"/>
    </row>
    <row r="729" spans="62:64" x14ac:dyDescent="0.25">
      <c r="BJ729" s="122"/>
      <c r="BK729" s="122"/>
      <c r="BL729" s="122"/>
    </row>
    <row r="730" spans="62:64" x14ac:dyDescent="0.25">
      <c r="BJ730" s="122"/>
      <c r="BK730" s="122"/>
      <c r="BL730" s="122"/>
    </row>
    <row r="731" spans="62:64" x14ac:dyDescent="0.25">
      <c r="BJ731" s="122"/>
      <c r="BK731" s="122"/>
      <c r="BL731" s="122"/>
    </row>
    <row r="732" spans="62:64" x14ac:dyDescent="0.25">
      <c r="BJ732" s="122"/>
      <c r="BK732" s="122"/>
      <c r="BL732" s="122"/>
    </row>
    <row r="733" spans="62:64" x14ac:dyDescent="0.25">
      <c r="BJ733" s="122"/>
      <c r="BK733" s="122"/>
      <c r="BL733" s="122"/>
    </row>
    <row r="734" spans="62:64" x14ac:dyDescent="0.25">
      <c r="BJ734" s="122"/>
      <c r="BK734" s="122"/>
      <c r="BL734" s="122"/>
    </row>
    <row r="735" spans="62:64" x14ac:dyDescent="0.25">
      <c r="BJ735" s="122"/>
      <c r="BK735" s="122"/>
      <c r="BL735" s="122"/>
    </row>
    <row r="736" spans="62:64" x14ac:dyDescent="0.25">
      <c r="BJ736" s="122"/>
      <c r="BK736" s="122"/>
      <c r="BL736" s="122"/>
    </row>
    <row r="737" spans="62:64" x14ac:dyDescent="0.25">
      <c r="BJ737" s="122"/>
      <c r="BK737" s="122"/>
      <c r="BL737" s="122"/>
    </row>
    <row r="738" spans="62:64" x14ac:dyDescent="0.25">
      <c r="BJ738" s="122"/>
      <c r="BK738" s="122"/>
      <c r="BL738" s="122"/>
    </row>
    <row r="739" spans="62:64" x14ac:dyDescent="0.25">
      <c r="BJ739" s="122"/>
      <c r="BK739" s="122"/>
      <c r="BL739" s="122"/>
    </row>
    <row r="740" spans="62:64" x14ac:dyDescent="0.25">
      <c r="BJ740" s="122"/>
      <c r="BK740" s="122"/>
      <c r="BL740" s="122"/>
    </row>
    <row r="741" spans="62:64" x14ac:dyDescent="0.25">
      <c r="BJ741" s="122"/>
      <c r="BK741" s="122"/>
      <c r="BL741" s="122"/>
    </row>
    <row r="742" spans="62:64" x14ac:dyDescent="0.25">
      <c r="BJ742" s="122"/>
      <c r="BK742" s="122"/>
      <c r="BL742" s="122"/>
    </row>
    <row r="743" spans="62:64" x14ac:dyDescent="0.25">
      <c r="BJ743" s="122"/>
      <c r="BK743" s="122"/>
      <c r="BL743" s="122"/>
    </row>
    <row r="744" spans="62:64" x14ac:dyDescent="0.25">
      <c r="BJ744" s="122"/>
      <c r="BK744" s="122"/>
      <c r="BL744" s="122"/>
    </row>
    <row r="745" spans="62:64" x14ac:dyDescent="0.25">
      <c r="BJ745" s="122"/>
      <c r="BK745" s="122"/>
      <c r="BL745" s="122"/>
    </row>
    <row r="746" spans="62:64" x14ac:dyDescent="0.25">
      <c r="BJ746" s="122"/>
      <c r="BK746" s="122"/>
      <c r="BL746" s="122"/>
    </row>
    <row r="747" spans="62:64" x14ac:dyDescent="0.25">
      <c r="BJ747" s="122"/>
      <c r="BK747" s="122"/>
      <c r="BL747" s="122"/>
    </row>
    <row r="748" spans="62:64" x14ac:dyDescent="0.25">
      <c r="BJ748" s="122"/>
      <c r="BK748" s="122"/>
      <c r="BL748" s="122"/>
    </row>
    <row r="749" spans="62:64" x14ac:dyDescent="0.25">
      <c r="BJ749" s="122"/>
      <c r="BK749" s="122"/>
      <c r="BL749" s="122"/>
    </row>
    <row r="750" spans="62:64" x14ac:dyDescent="0.25">
      <c r="BJ750" s="122"/>
      <c r="BK750" s="122"/>
      <c r="BL750" s="122"/>
    </row>
    <row r="751" spans="62:64" x14ac:dyDescent="0.25">
      <c r="BJ751" s="122"/>
      <c r="BK751" s="122"/>
      <c r="BL751" s="122"/>
    </row>
    <row r="752" spans="62:64" x14ac:dyDescent="0.25">
      <c r="BJ752" s="122"/>
      <c r="BK752" s="122"/>
      <c r="BL752" s="122"/>
    </row>
    <row r="753" spans="62:64" x14ac:dyDescent="0.25">
      <c r="BJ753" s="122"/>
      <c r="BK753" s="122"/>
      <c r="BL753" s="122"/>
    </row>
    <row r="754" spans="62:64" x14ac:dyDescent="0.25">
      <c r="BJ754" s="122"/>
      <c r="BK754" s="122"/>
      <c r="BL754" s="122"/>
    </row>
    <row r="755" spans="62:64" x14ac:dyDescent="0.25">
      <c r="BJ755" s="122"/>
      <c r="BK755" s="122"/>
      <c r="BL755" s="122"/>
    </row>
    <row r="756" spans="62:64" x14ac:dyDescent="0.25">
      <c r="BJ756" s="122"/>
      <c r="BK756" s="122"/>
      <c r="BL756" s="122"/>
    </row>
    <row r="757" spans="62:64" x14ac:dyDescent="0.25">
      <c r="BJ757" s="122"/>
      <c r="BK757" s="122"/>
      <c r="BL757" s="122"/>
    </row>
    <row r="758" spans="62:64" x14ac:dyDescent="0.25">
      <c r="BJ758" s="122"/>
      <c r="BK758" s="122"/>
      <c r="BL758" s="122"/>
    </row>
    <row r="759" spans="62:64" x14ac:dyDescent="0.25">
      <c r="BJ759" s="122"/>
      <c r="BK759" s="122"/>
      <c r="BL759" s="122"/>
    </row>
    <row r="760" spans="62:64" x14ac:dyDescent="0.25">
      <c r="BJ760" s="122"/>
      <c r="BK760" s="122"/>
      <c r="BL760" s="122"/>
    </row>
    <row r="761" spans="62:64" x14ac:dyDescent="0.25">
      <c r="BJ761" s="122"/>
      <c r="BK761" s="122"/>
      <c r="BL761" s="122"/>
    </row>
    <row r="762" spans="62:64" x14ac:dyDescent="0.25">
      <c r="BJ762" s="122"/>
      <c r="BK762" s="122"/>
      <c r="BL762" s="122"/>
    </row>
    <row r="763" spans="62:64" x14ac:dyDescent="0.25">
      <c r="BJ763" s="122"/>
      <c r="BK763" s="122"/>
      <c r="BL763" s="122"/>
    </row>
    <row r="764" spans="62:64" x14ac:dyDescent="0.25">
      <c r="BJ764" s="122"/>
      <c r="BK764" s="122"/>
      <c r="BL764" s="122"/>
    </row>
    <row r="765" spans="62:64" x14ac:dyDescent="0.25">
      <c r="BJ765" s="122"/>
      <c r="BK765" s="122"/>
      <c r="BL765" s="122"/>
    </row>
    <row r="766" spans="62:64" x14ac:dyDescent="0.25">
      <c r="BJ766" s="122"/>
      <c r="BK766" s="122"/>
      <c r="BL766" s="122"/>
    </row>
    <row r="767" spans="62:64" x14ac:dyDescent="0.25">
      <c r="BJ767" s="122"/>
      <c r="BK767" s="122"/>
      <c r="BL767" s="122"/>
    </row>
    <row r="768" spans="62:64" x14ac:dyDescent="0.25">
      <c r="BJ768" s="122"/>
      <c r="BK768" s="122"/>
      <c r="BL768" s="122"/>
    </row>
    <row r="769" spans="62:64" x14ac:dyDescent="0.25">
      <c r="BJ769" s="122"/>
      <c r="BK769" s="122"/>
      <c r="BL769" s="122"/>
    </row>
    <row r="770" spans="62:64" x14ac:dyDescent="0.25">
      <c r="BJ770" s="122"/>
      <c r="BK770" s="122"/>
      <c r="BL770" s="122"/>
    </row>
    <row r="771" spans="62:64" x14ac:dyDescent="0.25">
      <c r="BJ771" s="122"/>
      <c r="BK771" s="122"/>
      <c r="BL771" s="122"/>
    </row>
    <row r="772" spans="62:64" x14ac:dyDescent="0.25">
      <c r="BJ772" s="122"/>
      <c r="BK772" s="122"/>
      <c r="BL772" s="122"/>
    </row>
    <row r="773" spans="62:64" x14ac:dyDescent="0.25">
      <c r="BJ773" s="122"/>
      <c r="BK773" s="122"/>
      <c r="BL773" s="122"/>
    </row>
    <row r="774" spans="62:64" x14ac:dyDescent="0.25">
      <c r="BJ774" s="122"/>
      <c r="BK774" s="122"/>
      <c r="BL774" s="122"/>
    </row>
    <row r="775" spans="62:64" x14ac:dyDescent="0.25">
      <c r="BJ775" s="122"/>
      <c r="BK775" s="122"/>
      <c r="BL775" s="122"/>
    </row>
    <row r="776" spans="62:64" x14ac:dyDescent="0.25">
      <c r="BJ776" s="122"/>
      <c r="BK776" s="122"/>
      <c r="BL776" s="122"/>
    </row>
    <row r="777" spans="62:64" x14ac:dyDescent="0.25">
      <c r="BJ777" s="122"/>
      <c r="BK777" s="122"/>
      <c r="BL777" s="122"/>
    </row>
    <row r="778" spans="62:64" x14ac:dyDescent="0.25">
      <c r="BJ778" s="122"/>
      <c r="BK778" s="122"/>
      <c r="BL778" s="122"/>
    </row>
    <row r="779" spans="62:64" x14ac:dyDescent="0.25">
      <c r="BJ779" s="122"/>
      <c r="BK779" s="122"/>
      <c r="BL779" s="122"/>
    </row>
    <row r="780" spans="62:64" x14ac:dyDescent="0.25">
      <c r="BJ780" s="122"/>
      <c r="BK780" s="122"/>
      <c r="BL780" s="122"/>
    </row>
    <row r="781" spans="62:64" x14ac:dyDescent="0.25">
      <c r="BJ781" s="122"/>
      <c r="BK781" s="122"/>
      <c r="BL781" s="122"/>
    </row>
    <row r="782" spans="62:64" x14ac:dyDescent="0.25">
      <c r="BJ782" s="122"/>
      <c r="BK782" s="122"/>
      <c r="BL782" s="122"/>
    </row>
    <row r="783" spans="62:64" x14ac:dyDescent="0.25">
      <c r="BJ783" s="122"/>
      <c r="BK783" s="122"/>
      <c r="BL783" s="122"/>
    </row>
    <row r="784" spans="62:64" x14ac:dyDescent="0.25">
      <c r="BJ784" s="122"/>
      <c r="BK784" s="122"/>
      <c r="BL784" s="122"/>
    </row>
    <row r="785" spans="62:64" x14ac:dyDescent="0.25">
      <c r="BJ785" s="122"/>
      <c r="BK785" s="122"/>
      <c r="BL785" s="122"/>
    </row>
    <row r="786" spans="62:64" x14ac:dyDescent="0.25">
      <c r="BJ786" s="122"/>
      <c r="BK786" s="122"/>
      <c r="BL786" s="122"/>
    </row>
    <row r="787" spans="62:64" x14ac:dyDescent="0.25">
      <c r="BJ787" s="122"/>
      <c r="BK787" s="122"/>
      <c r="BL787" s="122"/>
    </row>
    <row r="788" spans="62:64" x14ac:dyDescent="0.25">
      <c r="BJ788" s="122"/>
      <c r="BK788" s="122"/>
      <c r="BL788" s="122"/>
    </row>
    <row r="789" spans="62:64" x14ac:dyDescent="0.25">
      <c r="BJ789" s="122"/>
      <c r="BK789" s="122"/>
      <c r="BL789" s="122"/>
    </row>
    <row r="790" spans="62:64" x14ac:dyDescent="0.25">
      <c r="BJ790" s="122"/>
      <c r="BK790" s="122"/>
      <c r="BL790" s="122"/>
    </row>
    <row r="791" spans="62:64" x14ac:dyDescent="0.25">
      <c r="BJ791" s="122"/>
      <c r="BK791" s="122"/>
      <c r="BL791" s="122"/>
    </row>
    <row r="792" spans="62:64" x14ac:dyDescent="0.25">
      <c r="BJ792" s="122"/>
      <c r="BK792" s="122"/>
      <c r="BL792" s="122"/>
    </row>
    <row r="793" spans="62:64" x14ac:dyDescent="0.25">
      <c r="BJ793" s="122"/>
      <c r="BK793" s="122"/>
      <c r="BL793" s="122"/>
    </row>
    <row r="794" spans="62:64" x14ac:dyDescent="0.25">
      <c r="BJ794" s="122"/>
      <c r="BK794" s="122"/>
      <c r="BL794" s="122"/>
    </row>
    <row r="795" spans="62:64" x14ac:dyDescent="0.25">
      <c r="BJ795" s="122"/>
      <c r="BK795" s="122"/>
      <c r="BL795" s="122"/>
    </row>
    <row r="796" spans="62:64" x14ac:dyDescent="0.25">
      <c r="BJ796" s="122"/>
      <c r="BK796" s="122"/>
      <c r="BL796" s="122"/>
    </row>
    <row r="797" spans="62:64" x14ac:dyDescent="0.25">
      <c r="BJ797" s="122"/>
      <c r="BK797" s="122"/>
      <c r="BL797" s="122"/>
    </row>
    <row r="798" spans="62:64" x14ac:dyDescent="0.25">
      <c r="BJ798" s="122"/>
      <c r="BK798" s="122"/>
      <c r="BL798" s="122"/>
    </row>
    <row r="799" spans="62:64" x14ac:dyDescent="0.25">
      <c r="BJ799" s="122"/>
      <c r="BK799" s="122"/>
      <c r="BL799" s="122"/>
    </row>
    <row r="800" spans="62:64" x14ac:dyDescent="0.25">
      <c r="BJ800" s="122"/>
      <c r="BK800" s="122"/>
      <c r="BL800" s="122"/>
    </row>
    <row r="801" spans="62:64" x14ac:dyDescent="0.25">
      <c r="BJ801" s="122"/>
      <c r="BK801" s="122"/>
      <c r="BL801" s="122"/>
    </row>
    <row r="802" spans="62:64" x14ac:dyDescent="0.25">
      <c r="BJ802" s="122"/>
      <c r="BK802" s="122"/>
      <c r="BL802" s="122"/>
    </row>
    <row r="803" spans="62:64" x14ac:dyDescent="0.25">
      <c r="BJ803" s="122"/>
      <c r="BK803" s="122"/>
      <c r="BL803" s="122"/>
    </row>
    <row r="804" spans="62:64" x14ac:dyDescent="0.25">
      <c r="BJ804" s="122"/>
      <c r="BK804" s="122"/>
      <c r="BL804" s="122"/>
    </row>
    <row r="805" spans="62:64" x14ac:dyDescent="0.25">
      <c r="BJ805" s="122"/>
      <c r="BK805" s="122"/>
      <c r="BL805" s="122"/>
    </row>
    <row r="806" spans="62:64" x14ac:dyDescent="0.25">
      <c r="BJ806" s="122"/>
      <c r="BK806" s="122"/>
      <c r="BL806" s="122"/>
    </row>
    <row r="807" spans="62:64" x14ac:dyDescent="0.25">
      <c r="BJ807" s="122"/>
      <c r="BK807" s="122"/>
      <c r="BL807" s="122"/>
    </row>
    <row r="808" spans="62:64" x14ac:dyDescent="0.25">
      <c r="BJ808" s="122"/>
      <c r="BK808" s="122"/>
      <c r="BL808" s="122"/>
    </row>
    <row r="809" spans="62:64" x14ac:dyDescent="0.25">
      <c r="BJ809" s="122"/>
      <c r="BK809" s="122"/>
      <c r="BL809" s="122"/>
    </row>
    <row r="810" spans="62:64" x14ac:dyDescent="0.25">
      <c r="BJ810" s="122"/>
      <c r="BK810" s="122"/>
      <c r="BL810" s="122"/>
    </row>
    <row r="811" spans="62:64" x14ac:dyDescent="0.25">
      <c r="BJ811" s="122"/>
      <c r="BK811" s="122"/>
      <c r="BL811" s="122"/>
    </row>
    <row r="812" spans="62:64" x14ac:dyDescent="0.25">
      <c r="BJ812" s="122"/>
      <c r="BK812" s="122"/>
      <c r="BL812" s="122"/>
    </row>
    <row r="813" spans="62:64" x14ac:dyDescent="0.25">
      <c r="BJ813" s="122"/>
      <c r="BK813" s="122"/>
      <c r="BL813" s="122"/>
    </row>
    <row r="814" spans="62:64" x14ac:dyDescent="0.25">
      <c r="BJ814" s="122"/>
      <c r="BK814" s="122"/>
      <c r="BL814" s="122"/>
    </row>
    <row r="815" spans="62:64" x14ac:dyDescent="0.25">
      <c r="BJ815" s="122"/>
      <c r="BK815" s="122"/>
      <c r="BL815" s="122"/>
    </row>
    <row r="816" spans="62:64" x14ac:dyDescent="0.25">
      <c r="BJ816" s="122"/>
      <c r="BK816" s="122"/>
      <c r="BL816" s="122"/>
    </row>
    <row r="817" spans="62:64" x14ac:dyDescent="0.25">
      <c r="BJ817" s="122"/>
      <c r="BK817" s="122"/>
      <c r="BL817" s="122"/>
    </row>
    <row r="818" spans="62:64" x14ac:dyDescent="0.25">
      <c r="BJ818" s="122"/>
      <c r="BK818" s="122"/>
      <c r="BL818" s="122"/>
    </row>
    <row r="819" spans="62:64" x14ac:dyDescent="0.25">
      <c r="BJ819" s="122"/>
      <c r="BK819" s="122"/>
      <c r="BL819" s="122"/>
    </row>
    <row r="820" spans="62:64" x14ac:dyDescent="0.25">
      <c r="BJ820" s="122"/>
      <c r="BK820" s="122"/>
      <c r="BL820" s="122"/>
    </row>
    <row r="821" spans="62:64" x14ac:dyDescent="0.25">
      <c r="BJ821" s="122"/>
      <c r="BK821" s="122"/>
      <c r="BL821" s="122"/>
    </row>
    <row r="822" spans="62:64" x14ac:dyDescent="0.25">
      <c r="BJ822" s="122"/>
      <c r="BK822" s="122"/>
      <c r="BL822" s="122"/>
    </row>
    <row r="823" spans="62:64" x14ac:dyDescent="0.25">
      <c r="BJ823" s="122"/>
      <c r="BK823" s="122"/>
      <c r="BL823" s="122"/>
    </row>
    <row r="824" spans="62:64" x14ac:dyDescent="0.25">
      <c r="BJ824" s="122"/>
      <c r="BK824" s="122"/>
      <c r="BL824" s="122"/>
    </row>
    <row r="825" spans="62:64" x14ac:dyDescent="0.25">
      <c r="BJ825" s="122"/>
      <c r="BK825" s="122"/>
      <c r="BL825" s="122"/>
    </row>
    <row r="826" spans="62:64" x14ac:dyDescent="0.25">
      <c r="BJ826" s="122"/>
      <c r="BK826" s="122"/>
      <c r="BL826" s="122"/>
    </row>
    <row r="827" spans="62:64" x14ac:dyDescent="0.25">
      <c r="BJ827" s="122"/>
      <c r="BK827" s="122"/>
      <c r="BL827" s="122"/>
    </row>
    <row r="828" spans="62:64" x14ac:dyDescent="0.25">
      <c r="BJ828" s="122"/>
      <c r="BK828" s="122"/>
      <c r="BL828" s="122"/>
    </row>
    <row r="829" spans="62:64" x14ac:dyDescent="0.25">
      <c r="BJ829" s="122"/>
      <c r="BK829" s="122"/>
      <c r="BL829" s="122"/>
    </row>
    <row r="830" spans="62:64" x14ac:dyDescent="0.25">
      <c r="BJ830" s="122"/>
      <c r="BK830" s="122"/>
      <c r="BL830" s="122"/>
    </row>
    <row r="831" spans="62:64" x14ac:dyDescent="0.25">
      <c r="BJ831" s="122"/>
      <c r="BK831" s="122"/>
      <c r="BL831" s="122"/>
    </row>
    <row r="832" spans="62:64" x14ac:dyDescent="0.25">
      <c r="BJ832" s="122"/>
      <c r="BK832" s="122"/>
      <c r="BL832" s="122"/>
    </row>
    <row r="833" spans="62:64" x14ac:dyDescent="0.25">
      <c r="BJ833" s="122"/>
      <c r="BK833" s="122"/>
      <c r="BL833" s="122"/>
    </row>
    <row r="834" spans="62:64" x14ac:dyDescent="0.25">
      <c r="BJ834" s="122"/>
      <c r="BK834" s="122"/>
      <c r="BL834" s="122"/>
    </row>
    <row r="835" spans="62:64" x14ac:dyDescent="0.25">
      <c r="BJ835" s="122"/>
      <c r="BK835" s="122"/>
      <c r="BL835" s="122"/>
    </row>
    <row r="836" spans="62:64" x14ac:dyDescent="0.25">
      <c r="BJ836" s="122"/>
      <c r="BK836" s="122"/>
      <c r="BL836" s="122"/>
    </row>
    <row r="837" spans="62:64" x14ac:dyDescent="0.25">
      <c r="BJ837" s="122"/>
      <c r="BK837" s="122"/>
      <c r="BL837" s="122"/>
    </row>
    <row r="838" spans="62:64" x14ac:dyDescent="0.25">
      <c r="BJ838" s="122"/>
      <c r="BK838" s="122"/>
      <c r="BL838" s="122"/>
    </row>
    <row r="839" spans="62:64" x14ac:dyDescent="0.25">
      <c r="BJ839" s="122"/>
      <c r="BK839" s="122"/>
      <c r="BL839" s="122"/>
    </row>
    <row r="840" spans="62:64" x14ac:dyDescent="0.25">
      <c r="BJ840" s="122"/>
      <c r="BK840" s="122"/>
      <c r="BL840" s="122"/>
    </row>
    <row r="841" spans="62:64" x14ac:dyDescent="0.25">
      <c r="BJ841" s="122"/>
      <c r="BK841" s="122"/>
      <c r="BL841" s="122"/>
    </row>
    <row r="842" spans="62:64" x14ac:dyDescent="0.25">
      <c r="BJ842" s="122"/>
      <c r="BK842" s="122"/>
      <c r="BL842" s="122"/>
    </row>
    <row r="843" spans="62:64" x14ac:dyDescent="0.25">
      <c r="BJ843" s="122"/>
      <c r="BK843" s="122"/>
      <c r="BL843" s="122"/>
    </row>
    <row r="844" spans="62:64" x14ac:dyDescent="0.25">
      <c r="BJ844" s="122"/>
      <c r="BK844" s="122"/>
      <c r="BL844" s="122"/>
    </row>
    <row r="845" spans="62:64" x14ac:dyDescent="0.25">
      <c r="BJ845" s="122"/>
      <c r="BK845" s="122"/>
      <c r="BL845" s="122"/>
    </row>
    <row r="846" spans="62:64" x14ac:dyDescent="0.25">
      <c r="BJ846" s="122"/>
      <c r="BK846" s="122"/>
      <c r="BL846" s="122"/>
    </row>
    <row r="847" spans="62:64" x14ac:dyDescent="0.25">
      <c r="BJ847" s="122"/>
      <c r="BK847" s="122"/>
      <c r="BL847" s="122"/>
    </row>
    <row r="848" spans="62:64" x14ac:dyDescent="0.25">
      <c r="BJ848" s="122"/>
      <c r="BK848" s="122"/>
      <c r="BL848" s="122"/>
    </row>
    <row r="849" spans="62:64" x14ac:dyDescent="0.25">
      <c r="BJ849" s="122"/>
      <c r="BK849" s="122"/>
      <c r="BL849" s="122"/>
    </row>
    <row r="850" spans="62:64" x14ac:dyDescent="0.25">
      <c r="BJ850" s="122"/>
      <c r="BK850" s="122"/>
      <c r="BL850" s="122"/>
    </row>
    <row r="851" spans="62:64" x14ac:dyDescent="0.25">
      <c r="BJ851" s="122"/>
      <c r="BK851" s="122"/>
      <c r="BL851" s="122"/>
    </row>
    <row r="852" spans="62:64" x14ac:dyDescent="0.25">
      <c r="BJ852" s="122"/>
      <c r="BK852" s="122"/>
      <c r="BL852" s="122"/>
    </row>
    <row r="853" spans="62:64" x14ac:dyDescent="0.25">
      <c r="BJ853" s="122"/>
      <c r="BK853" s="122"/>
      <c r="BL853" s="122"/>
    </row>
    <row r="854" spans="62:64" x14ac:dyDescent="0.25">
      <c r="BJ854" s="122"/>
      <c r="BK854" s="122"/>
      <c r="BL854" s="122"/>
    </row>
    <row r="855" spans="62:64" x14ac:dyDescent="0.25">
      <c r="BJ855" s="122"/>
      <c r="BK855" s="122"/>
      <c r="BL855" s="122"/>
    </row>
    <row r="856" spans="62:64" x14ac:dyDescent="0.25">
      <c r="BJ856" s="122"/>
      <c r="BK856" s="122"/>
      <c r="BL856" s="122"/>
    </row>
    <row r="857" spans="62:64" x14ac:dyDescent="0.25">
      <c r="BJ857" s="122"/>
      <c r="BK857" s="122"/>
      <c r="BL857" s="122"/>
    </row>
    <row r="858" spans="62:64" x14ac:dyDescent="0.25">
      <c r="BJ858" s="122"/>
      <c r="BK858" s="122"/>
      <c r="BL858" s="122"/>
    </row>
    <row r="859" spans="62:64" x14ac:dyDescent="0.25">
      <c r="BJ859" s="122"/>
      <c r="BK859" s="122"/>
      <c r="BL859" s="122"/>
    </row>
    <row r="860" spans="62:64" x14ac:dyDescent="0.25">
      <c r="BJ860" s="122"/>
      <c r="BK860" s="122"/>
      <c r="BL860" s="122"/>
    </row>
    <row r="861" spans="62:64" x14ac:dyDescent="0.25">
      <c r="BJ861" s="122"/>
      <c r="BK861" s="122"/>
      <c r="BL861" s="122"/>
    </row>
    <row r="862" spans="62:64" x14ac:dyDescent="0.25">
      <c r="BJ862" s="122"/>
      <c r="BK862" s="122"/>
      <c r="BL862" s="122"/>
    </row>
    <row r="863" spans="62:64" x14ac:dyDescent="0.25">
      <c r="BJ863" s="122"/>
      <c r="BK863" s="122"/>
      <c r="BL863" s="122"/>
    </row>
    <row r="864" spans="62:64" x14ac:dyDescent="0.25">
      <c r="BJ864" s="122"/>
      <c r="BK864" s="122"/>
      <c r="BL864" s="122"/>
    </row>
    <row r="865" spans="62:64" x14ac:dyDescent="0.25">
      <c r="BJ865" s="122"/>
      <c r="BK865" s="122"/>
      <c r="BL865" s="122"/>
    </row>
    <row r="866" spans="62:64" x14ac:dyDescent="0.25">
      <c r="BJ866" s="122"/>
      <c r="BK866" s="122"/>
      <c r="BL866" s="122"/>
    </row>
    <row r="867" spans="62:64" x14ac:dyDescent="0.25">
      <c r="BJ867" s="122"/>
      <c r="BK867" s="122"/>
      <c r="BL867" s="122"/>
    </row>
    <row r="868" spans="62:64" x14ac:dyDescent="0.25">
      <c r="BJ868" s="122"/>
      <c r="BK868" s="122"/>
      <c r="BL868" s="122"/>
    </row>
    <row r="869" spans="62:64" x14ac:dyDescent="0.25">
      <c r="BJ869" s="122"/>
      <c r="BK869" s="122"/>
      <c r="BL869" s="122"/>
    </row>
    <row r="870" spans="62:64" x14ac:dyDescent="0.25">
      <c r="BJ870" s="122"/>
      <c r="BK870" s="122"/>
      <c r="BL870" s="122"/>
    </row>
    <row r="871" spans="62:64" x14ac:dyDescent="0.25">
      <c r="BJ871" s="122"/>
      <c r="BK871" s="122"/>
      <c r="BL871" s="122"/>
    </row>
    <row r="872" spans="62:64" x14ac:dyDescent="0.25">
      <c r="BJ872" s="122"/>
      <c r="BK872" s="122"/>
      <c r="BL872" s="122"/>
    </row>
    <row r="873" spans="62:64" x14ac:dyDescent="0.25">
      <c r="BJ873" s="122"/>
      <c r="BK873" s="122"/>
      <c r="BL873" s="122"/>
    </row>
    <row r="874" spans="62:64" x14ac:dyDescent="0.25">
      <c r="BJ874" s="122"/>
      <c r="BK874" s="122"/>
      <c r="BL874" s="122"/>
    </row>
    <row r="875" spans="62:64" x14ac:dyDescent="0.25">
      <c r="BJ875" s="122"/>
      <c r="BK875" s="122"/>
      <c r="BL875" s="122"/>
    </row>
    <row r="876" spans="62:64" x14ac:dyDescent="0.25">
      <c r="BJ876" s="122"/>
      <c r="BK876" s="122"/>
      <c r="BL876" s="122"/>
    </row>
    <row r="877" spans="62:64" x14ac:dyDescent="0.25">
      <c r="BJ877" s="122"/>
      <c r="BK877" s="122"/>
      <c r="BL877" s="122"/>
    </row>
    <row r="878" spans="62:64" x14ac:dyDescent="0.25">
      <c r="BJ878" s="122"/>
      <c r="BK878" s="122"/>
      <c r="BL878" s="122"/>
    </row>
    <row r="879" spans="62:64" x14ac:dyDescent="0.25">
      <c r="BJ879" s="122"/>
      <c r="BK879" s="122"/>
      <c r="BL879" s="122"/>
    </row>
    <row r="880" spans="62:64" x14ac:dyDescent="0.25">
      <c r="BJ880" s="122"/>
      <c r="BK880" s="122"/>
      <c r="BL880" s="122"/>
    </row>
    <row r="881" spans="62:64" x14ac:dyDescent="0.25">
      <c r="BJ881" s="122"/>
      <c r="BK881" s="122"/>
      <c r="BL881" s="122"/>
    </row>
    <row r="882" spans="62:64" x14ac:dyDescent="0.25">
      <c r="BJ882" s="122"/>
      <c r="BK882" s="122"/>
      <c r="BL882" s="122"/>
    </row>
    <row r="883" spans="62:64" x14ac:dyDescent="0.25">
      <c r="BJ883" s="122"/>
      <c r="BK883" s="122"/>
      <c r="BL883" s="122"/>
    </row>
    <row r="884" spans="62:64" x14ac:dyDescent="0.25">
      <c r="BJ884" s="122"/>
      <c r="BK884" s="122"/>
      <c r="BL884" s="122"/>
    </row>
    <row r="885" spans="62:64" x14ac:dyDescent="0.25">
      <c r="BJ885" s="122"/>
      <c r="BK885" s="122"/>
      <c r="BL885" s="122"/>
    </row>
    <row r="886" spans="62:64" x14ac:dyDescent="0.25">
      <c r="BJ886" s="122"/>
      <c r="BK886" s="122"/>
      <c r="BL886" s="122"/>
    </row>
    <row r="887" spans="62:64" x14ac:dyDescent="0.25">
      <c r="BJ887" s="122"/>
      <c r="BK887" s="122"/>
      <c r="BL887" s="122"/>
    </row>
    <row r="888" spans="62:64" x14ac:dyDescent="0.25">
      <c r="BJ888" s="122"/>
      <c r="BK888" s="122"/>
      <c r="BL888" s="122"/>
    </row>
    <row r="889" spans="62:64" x14ac:dyDescent="0.25">
      <c r="BJ889" s="122"/>
      <c r="BK889" s="122"/>
      <c r="BL889" s="122"/>
    </row>
    <row r="890" spans="62:64" x14ac:dyDescent="0.25">
      <c r="BJ890" s="122"/>
      <c r="BK890" s="122"/>
      <c r="BL890" s="122"/>
    </row>
    <row r="891" spans="62:64" x14ac:dyDescent="0.25">
      <c r="BJ891" s="122"/>
      <c r="BK891" s="122"/>
      <c r="BL891" s="122"/>
    </row>
    <row r="892" spans="62:64" x14ac:dyDescent="0.25">
      <c r="BJ892" s="122"/>
      <c r="BK892" s="122"/>
      <c r="BL892" s="122"/>
    </row>
    <row r="893" spans="62:64" x14ac:dyDescent="0.25">
      <c r="BJ893" s="122"/>
      <c r="BK893" s="122"/>
      <c r="BL893" s="122"/>
    </row>
    <row r="894" spans="62:64" x14ac:dyDescent="0.25">
      <c r="BJ894" s="122"/>
      <c r="BK894" s="122"/>
      <c r="BL894" s="122"/>
    </row>
    <row r="895" spans="62:64" x14ac:dyDescent="0.25">
      <c r="BJ895" s="122"/>
      <c r="BK895" s="122"/>
      <c r="BL895" s="122"/>
    </row>
    <row r="896" spans="62:64" x14ac:dyDescent="0.25">
      <c r="BJ896" s="122"/>
      <c r="BK896" s="122"/>
      <c r="BL896" s="122"/>
    </row>
    <row r="897" spans="62:64" x14ac:dyDescent="0.25">
      <c r="BJ897" s="122"/>
      <c r="BK897" s="122"/>
      <c r="BL897" s="122"/>
    </row>
    <row r="898" spans="62:64" x14ac:dyDescent="0.25">
      <c r="BJ898" s="122"/>
      <c r="BK898" s="122"/>
      <c r="BL898" s="122"/>
    </row>
    <row r="899" spans="62:64" x14ac:dyDescent="0.25">
      <c r="BJ899" s="122"/>
      <c r="BK899" s="122"/>
      <c r="BL899" s="122"/>
    </row>
    <row r="900" spans="62:64" x14ac:dyDescent="0.25">
      <c r="BJ900" s="122"/>
      <c r="BK900" s="122"/>
      <c r="BL900" s="122"/>
    </row>
    <row r="901" spans="62:64" x14ac:dyDescent="0.25">
      <c r="BJ901" s="122"/>
      <c r="BK901" s="122"/>
      <c r="BL901" s="122"/>
    </row>
    <row r="902" spans="62:64" x14ac:dyDescent="0.25">
      <c r="BJ902" s="122"/>
      <c r="BK902" s="122"/>
      <c r="BL902" s="122"/>
    </row>
    <row r="903" spans="62:64" x14ac:dyDescent="0.25">
      <c r="BJ903" s="122"/>
      <c r="BK903" s="122"/>
      <c r="BL903" s="122"/>
    </row>
    <row r="904" spans="62:64" x14ac:dyDescent="0.25">
      <c r="BJ904" s="122"/>
      <c r="BK904" s="122"/>
      <c r="BL904" s="122"/>
    </row>
    <row r="905" spans="62:64" x14ac:dyDescent="0.25">
      <c r="BJ905" s="122"/>
      <c r="BK905" s="122"/>
      <c r="BL905" s="122"/>
    </row>
    <row r="906" spans="62:64" x14ac:dyDescent="0.25">
      <c r="BJ906" s="122"/>
      <c r="BK906" s="122"/>
      <c r="BL906" s="122"/>
    </row>
    <row r="907" spans="62:64" x14ac:dyDescent="0.25">
      <c r="BJ907" s="122"/>
      <c r="BK907" s="122"/>
      <c r="BL907" s="122"/>
    </row>
    <row r="908" spans="62:64" x14ac:dyDescent="0.25">
      <c r="BJ908" s="122"/>
      <c r="BK908" s="122"/>
      <c r="BL908" s="122"/>
    </row>
    <row r="909" spans="62:64" x14ac:dyDescent="0.25">
      <c r="BJ909" s="122"/>
      <c r="BK909" s="122"/>
      <c r="BL909" s="122"/>
    </row>
    <row r="910" spans="62:64" x14ac:dyDescent="0.25">
      <c r="BJ910" s="122"/>
      <c r="BK910" s="122"/>
      <c r="BL910" s="122"/>
    </row>
    <row r="911" spans="62:64" x14ac:dyDescent="0.25">
      <c r="BJ911" s="122"/>
      <c r="BK911" s="122"/>
      <c r="BL911" s="122"/>
    </row>
    <row r="912" spans="62:64" x14ac:dyDescent="0.25">
      <c r="BJ912" s="122"/>
      <c r="BK912" s="122"/>
      <c r="BL912" s="122"/>
    </row>
    <row r="913" spans="62:64" x14ac:dyDescent="0.25">
      <c r="BJ913" s="122"/>
      <c r="BK913" s="122"/>
      <c r="BL913" s="122"/>
    </row>
    <row r="914" spans="62:64" x14ac:dyDescent="0.25">
      <c r="BJ914" s="122"/>
      <c r="BK914" s="122"/>
      <c r="BL914" s="122"/>
    </row>
    <row r="915" spans="62:64" x14ac:dyDescent="0.25">
      <c r="BJ915" s="122"/>
      <c r="BK915" s="122"/>
      <c r="BL915" s="122"/>
    </row>
    <row r="916" spans="62:64" x14ac:dyDescent="0.25">
      <c r="BJ916" s="122"/>
      <c r="BK916" s="122"/>
      <c r="BL916" s="122"/>
    </row>
    <row r="917" spans="62:64" x14ac:dyDescent="0.25">
      <c r="BJ917" s="122"/>
      <c r="BK917" s="122"/>
      <c r="BL917" s="122"/>
    </row>
    <row r="918" spans="62:64" x14ac:dyDescent="0.25">
      <c r="BJ918" s="122"/>
      <c r="BK918" s="122"/>
      <c r="BL918" s="122"/>
    </row>
    <row r="919" spans="62:64" x14ac:dyDescent="0.25">
      <c r="BJ919" s="122"/>
      <c r="BK919" s="122"/>
      <c r="BL919" s="122"/>
    </row>
    <row r="920" spans="62:64" x14ac:dyDescent="0.25">
      <c r="BJ920" s="122"/>
      <c r="BK920" s="122"/>
      <c r="BL920" s="122"/>
    </row>
    <row r="921" spans="62:64" x14ac:dyDescent="0.25">
      <c r="BJ921" s="122"/>
      <c r="BK921" s="122"/>
      <c r="BL921" s="122"/>
    </row>
    <row r="922" spans="62:64" x14ac:dyDescent="0.25">
      <c r="BJ922" s="122"/>
      <c r="BK922" s="122"/>
      <c r="BL922" s="122"/>
    </row>
    <row r="923" spans="62:64" x14ac:dyDescent="0.25">
      <c r="BJ923" s="122"/>
      <c r="BK923" s="122"/>
      <c r="BL923" s="122"/>
    </row>
    <row r="924" spans="62:64" x14ac:dyDescent="0.25">
      <c r="BJ924" s="122"/>
      <c r="BK924" s="122"/>
      <c r="BL924" s="122"/>
    </row>
    <row r="925" spans="62:64" x14ac:dyDescent="0.25">
      <c r="BJ925" s="122"/>
      <c r="BK925" s="122"/>
      <c r="BL925" s="122"/>
    </row>
    <row r="926" spans="62:64" x14ac:dyDescent="0.25">
      <c r="BJ926" s="122"/>
      <c r="BK926" s="122"/>
      <c r="BL926" s="122"/>
    </row>
    <row r="927" spans="62:64" x14ac:dyDescent="0.25">
      <c r="BJ927" s="122"/>
      <c r="BK927" s="122"/>
      <c r="BL927" s="122"/>
    </row>
    <row r="928" spans="62:64" x14ac:dyDescent="0.25">
      <c r="BJ928" s="122"/>
      <c r="BK928" s="122"/>
      <c r="BL928" s="122"/>
    </row>
    <row r="929" spans="62:64" x14ac:dyDescent="0.25">
      <c r="BJ929" s="122"/>
      <c r="BK929" s="122"/>
      <c r="BL929" s="122"/>
    </row>
    <row r="930" spans="62:64" x14ac:dyDescent="0.25">
      <c r="BJ930" s="122"/>
      <c r="BK930" s="122"/>
      <c r="BL930" s="122"/>
    </row>
    <row r="931" spans="62:64" x14ac:dyDescent="0.25">
      <c r="BJ931" s="122"/>
      <c r="BK931" s="122"/>
      <c r="BL931" s="122"/>
    </row>
    <row r="932" spans="62:64" x14ac:dyDescent="0.25">
      <c r="BJ932" s="122"/>
      <c r="BK932" s="122"/>
      <c r="BL932" s="122"/>
    </row>
    <row r="933" spans="62:64" x14ac:dyDescent="0.25">
      <c r="BJ933" s="122"/>
      <c r="BK933" s="122"/>
      <c r="BL933" s="122"/>
    </row>
    <row r="934" spans="62:64" x14ac:dyDescent="0.25">
      <c r="BJ934" s="122"/>
      <c r="BK934" s="122"/>
      <c r="BL934" s="122"/>
    </row>
    <row r="935" spans="62:64" x14ac:dyDescent="0.25">
      <c r="BJ935" s="122"/>
      <c r="BK935" s="122"/>
      <c r="BL935" s="122"/>
    </row>
    <row r="936" spans="62:64" x14ac:dyDescent="0.25">
      <c r="BJ936" s="122"/>
      <c r="BK936" s="122"/>
      <c r="BL936" s="122"/>
    </row>
    <row r="937" spans="62:64" x14ac:dyDescent="0.25">
      <c r="BJ937" s="122"/>
      <c r="BK937" s="122"/>
      <c r="BL937" s="122"/>
    </row>
    <row r="938" spans="62:64" x14ac:dyDescent="0.25">
      <c r="BJ938" s="122"/>
      <c r="BK938" s="122"/>
      <c r="BL938" s="122"/>
    </row>
    <row r="939" spans="62:64" x14ac:dyDescent="0.25">
      <c r="BJ939" s="122"/>
      <c r="BK939" s="122"/>
      <c r="BL939" s="122"/>
    </row>
    <row r="940" spans="62:64" x14ac:dyDescent="0.25">
      <c r="BJ940" s="122"/>
      <c r="BK940" s="122"/>
      <c r="BL940" s="122"/>
    </row>
    <row r="941" spans="62:64" x14ac:dyDescent="0.25">
      <c r="BJ941" s="122"/>
      <c r="BK941" s="122"/>
      <c r="BL941" s="122"/>
    </row>
    <row r="942" spans="62:64" x14ac:dyDescent="0.25">
      <c r="BJ942" s="122"/>
      <c r="BK942" s="122"/>
      <c r="BL942" s="122"/>
    </row>
    <row r="943" spans="62:64" x14ac:dyDescent="0.25">
      <c r="BJ943" s="122"/>
      <c r="BK943" s="122"/>
      <c r="BL943" s="122"/>
    </row>
    <row r="944" spans="62:64" x14ac:dyDescent="0.25">
      <c r="BJ944" s="122"/>
      <c r="BK944" s="122"/>
      <c r="BL944" s="122"/>
    </row>
    <row r="945" spans="62:64" x14ac:dyDescent="0.25">
      <c r="BJ945" s="122"/>
      <c r="BK945" s="122"/>
      <c r="BL945" s="122"/>
    </row>
    <row r="946" spans="62:64" x14ac:dyDescent="0.25">
      <c r="BJ946" s="122"/>
      <c r="BK946" s="122"/>
      <c r="BL946" s="122"/>
    </row>
    <row r="947" spans="62:64" x14ac:dyDescent="0.25">
      <c r="BJ947" s="122"/>
      <c r="BK947" s="122"/>
      <c r="BL947" s="122"/>
    </row>
    <row r="948" spans="62:64" x14ac:dyDescent="0.25">
      <c r="BJ948" s="122"/>
      <c r="BK948" s="122"/>
      <c r="BL948" s="122"/>
    </row>
    <row r="949" spans="62:64" x14ac:dyDescent="0.25">
      <c r="BJ949" s="122"/>
      <c r="BK949" s="122"/>
      <c r="BL949" s="122"/>
    </row>
    <row r="950" spans="62:64" x14ac:dyDescent="0.25">
      <c r="BJ950" s="122"/>
      <c r="BK950" s="122"/>
      <c r="BL950" s="122"/>
    </row>
    <row r="951" spans="62:64" x14ac:dyDescent="0.25">
      <c r="BJ951" s="122"/>
      <c r="BK951" s="122"/>
      <c r="BL951" s="122"/>
    </row>
    <row r="952" spans="62:64" x14ac:dyDescent="0.25">
      <c r="BJ952" s="122"/>
      <c r="BK952" s="122"/>
      <c r="BL952" s="122"/>
    </row>
    <row r="953" spans="62:64" x14ac:dyDescent="0.25">
      <c r="BJ953" s="122"/>
      <c r="BK953" s="122"/>
      <c r="BL953" s="122"/>
    </row>
    <row r="954" spans="62:64" x14ac:dyDescent="0.25">
      <c r="BJ954" s="122"/>
      <c r="BK954" s="122"/>
      <c r="BL954" s="122"/>
    </row>
    <row r="955" spans="62:64" x14ac:dyDescent="0.25">
      <c r="BJ955" s="122"/>
      <c r="BK955" s="122"/>
      <c r="BL955" s="122"/>
    </row>
    <row r="956" spans="62:64" x14ac:dyDescent="0.25">
      <c r="BJ956" s="122"/>
      <c r="BK956" s="122"/>
      <c r="BL956" s="122"/>
    </row>
    <row r="957" spans="62:64" x14ac:dyDescent="0.25">
      <c r="BJ957" s="122"/>
      <c r="BK957" s="122"/>
      <c r="BL957" s="122"/>
    </row>
    <row r="958" spans="62:64" x14ac:dyDescent="0.25">
      <c r="BJ958" s="122"/>
      <c r="BK958" s="122"/>
      <c r="BL958" s="122"/>
    </row>
    <row r="959" spans="62:64" x14ac:dyDescent="0.25">
      <c r="BJ959" s="122"/>
      <c r="BK959" s="122"/>
      <c r="BL959" s="122"/>
    </row>
    <row r="960" spans="62:64" x14ac:dyDescent="0.25">
      <c r="BJ960" s="122"/>
      <c r="BK960" s="122"/>
      <c r="BL960" s="122"/>
    </row>
    <row r="961" spans="62:64" x14ac:dyDescent="0.25">
      <c r="BJ961" s="122"/>
      <c r="BK961" s="122"/>
      <c r="BL961" s="122"/>
    </row>
    <row r="962" spans="62:64" x14ac:dyDescent="0.25">
      <c r="BJ962" s="122"/>
      <c r="BK962" s="122"/>
      <c r="BL962" s="122"/>
    </row>
    <row r="963" spans="62:64" x14ac:dyDescent="0.25">
      <c r="BJ963" s="122"/>
      <c r="BK963" s="122"/>
      <c r="BL963" s="122"/>
    </row>
    <row r="964" spans="62:64" x14ac:dyDescent="0.25">
      <c r="BJ964" s="122"/>
      <c r="BK964" s="122"/>
      <c r="BL964" s="122"/>
    </row>
    <row r="965" spans="62:64" x14ac:dyDescent="0.25">
      <c r="BJ965" s="122"/>
      <c r="BK965" s="122"/>
      <c r="BL965" s="122"/>
    </row>
    <row r="966" spans="62:64" x14ac:dyDescent="0.25">
      <c r="BJ966" s="122"/>
      <c r="BK966" s="122"/>
      <c r="BL966" s="122"/>
    </row>
    <row r="967" spans="62:64" x14ac:dyDescent="0.25">
      <c r="BJ967" s="122"/>
      <c r="BK967" s="122"/>
      <c r="BL967" s="122"/>
    </row>
    <row r="968" spans="62:64" x14ac:dyDescent="0.25">
      <c r="BJ968" s="122"/>
      <c r="BK968" s="122"/>
      <c r="BL968" s="122"/>
    </row>
    <row r="969" spans="62:64" x14ac:dyDescent="0.25">
      <c r="BJ969" s="122"/>
      <c r="BK969" s="122"/>
      <c r="BL969" s="122"/>
    </row>
    <row r="970" spans="62:64" x14ac:dyDescent="0.25">
      <c r="BJ970" s="122"/>
      <c r="BK970" s="122"/>
      <c r="BL970" s="122"/>
    </row>
    <row r="971" spans="62:64" x14ac:dyDescent="0.25">
      <c r="BJ971" s="122"/>
      <c r="BK971" s="122"/>
      <c r="BL971" s="122"/>
    </row>
    <row r="972" spans="62:64" x14ac:dyDescent="0.25">
      <c r="BJ972" s="122"/>
      <c r="BK972" s="122"/>
      <c r="BL972" s="122"/>
    </row>
    <row r="973" spans="62:64" x14ac:dyDescent="0.25">
      <c r="BJ973" s="122"/>
      <c r="BK973" s="122"/>
      <c r="BL973" s="122"/>
    </row>
    <row r="974" spans="62:64" x14ac:dyDescent="0.25">
      <c r="BJ974" s="122"/>
      <c r="BK974" s="122"/>
      <c r="BL974" s="122"/>
    </row>
    <row r="975" spans="62:64" x14ac:dyDescent="0.25">
      <c r="BJ975" s="122"/>
      <c r="BK975" s="122"/>
      <c r="BL975" s="122"/>
    </row>
    <row r="976" spans="62:64" x14ac:dyDescent="0.25">
      <c r="BJ976" s="122"/>
      <c r="BK976" s="122"/>
      <c r="BL976" s="122"/>
    </row>
    <row r="977" spans="62:64" x14ac:dyDescent="0.25">
      <c r="BJ977" s="122"/>
      <c r="BK977" s="122"/>
      <c r="BL977" s="122"/>
    </row>
    <row r="978" spans="62:64" x14ac:dyDescent="0.25">
      <c r="BJ978" s="122"/>
      <c r="BK978" s="122"/>
      <c r="BL978" s="122"/>
    </row>
    <row r="979" spans="62:64" x14ac:dyDescent="0.25">
      <c r="BJ979" s="122"/>
      <c r="BK979" s="122"/>
      <c r="BL979" s="122"/>
    </row>
    <row r="980" spans="62:64" x14ac:dyDescent="0.25">
      <c r="BJ980" s="122"/>
      <c r="BK980" s="122"/>
      <c r="BL980" s="122"/>
    </row>
    <row r="981" spans="62:64" x14ac:dyDescent="0.25">
      <c r="BJ981" s="122"/>
      <c r="BK981" s="122"/>
      <c r="BL981" s="122"/>
    </row>
    <row r="982" spans="62:64" x14ac:dyDescent="0.25">
      <c r="BJ982" s="122"/>
      <c r="BK982" s="122"/>
      <c r="BL982" s="122"/>
    </row>
    <row r="983" spans="62:64" x14ac:dyDescent="0.25">
      <c r="BJ983" s="122"/>
      <c r="BK983" s="122"/>
      <c r="BL983" s="122"/>
    </row>
    <row r="984" spans="62:64" x14ac:dyDescent="0.25">
      <c r="BJ984" s="122"/>
      <c r="BK984" s="122"/>
      <c r="BL984" s="122"/>
    </row>
    <row r="985" spans="62:64" x14ac:dyDescent="0.25">
      <c r="BJ985" s="122"/>
      <c r="BK985" s="122"/>
      <c r="BL985" s="122"/>
    </row>
    <row r="986" spans="62:64" x14ac:dyDescent="0.25">
      <c r="BJ986" s="122"/>
      <c r="BK986" s="122"/>
      <c r="BL986" s="122"/>
    </row>
    <row r="987" spans="62:64" x14ac:dyDescent="0.25">
      <c r="BJ987" s="122"/>
      <c r="BK987" s="122"/>
      <c r="BL987" s="122"/>
    </row>
    <row r="988" spans="62:64" x14ac:dyDescent="0.25">
      <c r="BJ988" s="122"/>
      <c r="BK988" s="122"/>
      <c r="BL988" s="122"/>
    </row>
    <row r="989" spans="62:64" x14ac:dyDescent="0.25">
      <c r="BJ989" s="122"/>
      <c r="BK989" s="122"/>
      <c r="BL989" s="122"/>
    </row>
    <row r="990" spans="62:64" x14ac:dyDescent="0.25">
      <c r="BJ990" s="122"/>
      <c r="BK990" s="122"/>
      <c r="BL990" s="122"/>
    </row>
    <row r="991" spans="62:64" x14ac:dyDescent="0.25">
      <c r="BJ991" s="122"/>
      <c r="BK991" s="122"/>
      <c r="BL991" s="122"/>
    </row>
    <row r="992" spans="62:64" x14ac:dyDescent="0.25">
      <c r="BJ992" s="122"/>
      <c r="BK992" s="122"/>
      <c r="BL992" s="122"/>
    </row>
    <row r="993" spans="62:64" x14ac:dyDescent="0.25">
      <c r="BJ993" s="122"/>
      <c r="BK993" s="122"/>
      <c r="BL993" s="122"/>
    </row>
    <row r="994" spans="62:64" x14ac:dyDescent="0.25">
      <c r="BJ994" s="122"/>
      <c r="BK994" s="122"/>
      <c r="BL994" s="122"/>
    </row>
    <row r="995" spans="62:64" x14ac:dyDescent="0.25">
      <c r="BJ995" s="122"/>
      <c r="BK995" s="122"/>
      <c r="BL995" s="122"/>
    </row>
    <row r="996" spans="62:64" x14ac:dyDescent="0.25">
      <c r="BJ996" s="122"/>
      <c r="BK996" s="122"/>
      <c r="BL996" s="122"/>
    </row>
    <row r="997" spans="62:64" x14ac:dyDescent="0.25">
      <c r="BJ997" s="122"/>
      <c r="BK997" s="122"/>
      <c r="BL997" s="122"/>
    </row>
    <row r="998" spans="62:64" x14ac:dyDescent="0.25">
      <c r="BJ998" s="122"/>
      <c r="BK998" s="122"/>
      <c r="BL998" s="122"/>
    </row>
    <row r="999" spans="62:64" x14ac:dyDescent="0.25">
      <c r="BJ999" s="122"/>
      <c r="BK999" s="122"/>
      <c r="BL999" s="122"/>
    </row>
    <row r="1000" spans="62:64" x14ac:dyDescent="0.25">
      <c r="BJ1000" s="122"/>
      <c r="BK1000" s="122"/>
      <c r="BL1000" s="122"/>
    </row>
    <row r="1001" spans="62:64" x14ac:dyDescent="0.25">
      <c r="BJ1001" s="122"/>
      <c r="BK1001" s="122"/>
      <c r="BL1001" s="122"/>
    </row>
    <row r="1002" spans="62:64" x14ac:dyDescent="0.25">
      <c r="BJ1002" s="122"/>
      <c r="BK1002" s="122"/>
      <c r="BL1002" s="122"/>
    </row>
    <row r="1003" spans="62:64" x14ac:dyDescent="0.25">
      <c r="BJ1003" s="122"/>
      <c r="BK1003" s="122"/>
      <c r="BL1003" s="122"/>
    </row>
    <row r="1004" spans="62:64" x14ac:dyDescent="0.25">
      <c r="BJ1004" s="122"/>
      <c r="BK1004" s="122"/>
      <c r="BL1004" s="122"/>
    </row>
    <row r="1005" spans="62:64" x14ac:dyDescent="0.25">
      <c r="BJ1005" s="122"/>
      <c r="BK1005" s="122"/>
      <c r="BL1005" s="122"/>
    </row>
    <row r="1006" spans="62:64" x14ac:dyDescent="0.25">
      <c r="BJ1006" s="122"/>
      <c r="BK1006" s="122"/>
      <c r="BL1006" s="122"/>
    </row>
    <row r="1007" spans="62:64" x14ac:dyDescent="0.25">
      <c r="BJ1007" s="122"/>
      <c r="BK1007" s="122"/>
      <c r="BL1007" s="122"/>
    </row>
    <row r="1008" spans="62:64" x14ac:dyDescent="0.25">
      <c r="BJ1008" s="122"/>
      <c r="BK1008" s="122"/>
      <c r="BL1008" s="122"/>
    </row>
    <row r="1009" spans="62:64" x14ac:dyDescent="0.25">
      <c r="BJ1009" s="122"/>
      <c r="BK1009" s="122"/>
      <c r="BL1009" s="122"/>
    </row>
    <row r="1010" spans="62:64" x14ac:dyDescent="0.25">
      <c r="BJ1010" s="122"/>
      <c r="BK1010" s="122"/>
      <c r="BL1010" s="122"/>
    </row>
    <row r="1011" spans="62:64" x14ac:dyDescent="0.25">
      <c r="BJ1011" s="122"/>
      <c r="BK1011" s="122"/>
      <c r="BL1011" s="122"/>
    </row>
    <row r="1012" spans="62:64" x14ac:dyDescent="0.25">
      <c r="BJ1012" s="122"/>
      <c r="BK1012" s="122"/>
      <c r="BL1012" s="122"/>
    </row>
    <row r="1013" spans="62:64" x14ac:dyDescent="0.25">
      <c r="BJ1013" s="122"/>
      <c r="BK1013" s="122"/>
      <c r="BL1013" s="122"/>
    </row>
    <row r="1014" spans="62:64" x14ac:dyDescent="0.25">
      <c r="BJ1014" s="122"/>
      <c r="BK1014" s="122"/>
      <c r="BL1014" s="122"/>
    </row>
    <row r="1015" spans="62:64" x14ac:dyDescent="0.25">
      <c r="BJ1015" s="122"/>
      <c r="BK1015" s="122"/>
      <c r="BL1015" s="122"/>
    </row>
    <row r="1016" spans="62:64" x14ac:dyDescent="0.25">
      <c r="BJ1016" s="122"/>
      <c r="BK1016" s="122"/>
      <c r="BL1016" s="122"/>
    </row>
    <row r="1017" spans="62:64" x14ac:dyDescent="0.25">
      <c r="BJ1017" s="122"/>
      <c r="BK1017" s="122"/>
      <c r="BL1017" s="122"/>
    </row>
    <row r="1018" spans="62:64" x14ac:dyDescent="0.25">
      <c r="BJ1018" s="122"/>
      <c r="BK1018" s="122"/>
      <c r="BL1018" s="122"/>
    </row>
    <row r="1019" spans="62:64" x14ac:dyDescent="0.25">
      <c r="BJ1019" s="122"/>
      <c r="BK1019" s="122"/>
      <c r="BL1019" s="122"/>
    </row>
    <row r="1020" spans="62:64" x14ac:dyDescent="0.25">
      <c r="BJ1020" s="122"/>
      <c r="BK1020" s="122"/>
      <c r="BL1020" s="122"/>
    </row>
    <row r="1021" spans="62:64" x14ac:dyDescent="0.25">
      <c r="BJ1021" s="122"/>
      <c r="BK1021" s="122"/>
      <c r="BL1021" s="122"/>
    </row>
    <row r="1022" spans="62:64" x14ac:dyDescent="0.25">
      <c r="BJ1022" s="122"/>
      <c r="BK1022" s="122"/>
      <c r="BL1022" s="122"/>
    </row>
    <row r="1023" spans="62:64" x14ac:dyDescent="0.25">
      <c r="BJ1023" s="122"/>
      <c r="BK1023" s="122"/>
      <c r="BL1023" s="122"/>
    </row>
    <row r="1024" spans="62:64" x14ac:dyDescent="0.25">
      <c r="BJ1024" s="122"/>
      <c r="BK1024" s="122"/>
      <c r="BL1024" s="122"/>
    </row>
    <row r="1025" spans="62:64" x14ac:dyDescent="0.25">
      <c r="BJ1025" s="122"/>
      <c r="BK1025" s="122"/>
      <c r="BL1025" s="122"/>
    </row>
    <row r="1026" spans="62:64" x14ac:dyDescent="0.25">
      <c r="BJ1026" s="122"/>
      <c r="BK1026" s="122"/>
      <c r="BL1026" s="122"/>
    </row>
    <row r="1027" spans="62:64" x14ac:dyDescent="0.25">
      <c r="BJ1027" s="122"/>
      <c r="BK1027" s="122"/>
      <c r="BL1027" s="122"/>
    </row>
    <row r="1028" spans="62:64" x14ac:dyDescent="0.25">
      <c r="BJ1028" s="122"/>
      <c r="BK1028" s="122"/>
      <c r="BL1028" s="122"/>
    </row>
    <row r="1029" spans="62:64" x14ac:dyDescent="0.25">
      <c r="BJ1029" s="122"/>
      <c r="BK1029" s="122"/>
      <c r="BL1029" s="122"/>
    </row>
    <row r="1030" spans="62:64" x14ac:dyDescent="0.25">
      <c r="BJ1030" s="122"/>
      <c r="BK1030" s="122"/>
      <c r="BL1030" s="122"/>
    </row>
    <row r="1031" spans="62:64" x14ac:dyDescent="0.25">
      <c r="BJ1031" s="122"/>
      <c r="BK1031" s="122"/>
      <c r="BL1031" s="122"/>
    </row>
    <row r="1032" spans="62:64" x14ac:dyDescent="0.25">
      <c r="BJ1032" s="122"/>
      <c r="BK1032" s="122"/>
      <c r="BL1032" s="122"/>
    </row>
    <row r="1033" spans="62:64" x14ac:dyDescent="0.25">
      <c r="BJ1033" s="122"/>
      <c r="BK1033" s="122"/>
      <c r="BL1033" s="122"/>
    </row>
    <row r="1034" spans="62:64" x14ac:dyDescent="0.25">
      <c r="BJ1034" s="122"/>
      <c r="BK1034" s="122"/>
      <c r="BL1034" s="122"/>
    </row>
    <row r="1035" spans="62:64" x14ac:dyDescent="0.25">
      <c r="BJ1035" s="122"/>
      <c r="BK1035" s="122"/>
      <c r="BL1035" s="122"/>
    </row>
    <row r="1036" spans="62:64" x14ac:dyDescent="0.25">
      <c r="BJ1036" s="122"/>
      <c r="BK1036" s="122"/>
      <c r="BL1036" s="122"/>
    </row>
    <row r="1037" spans="62:64" x14ac:dyDescent="0.25">
      <c r="BJ1037" s="122"/>
      <c r="BK1037" s="122"/>
      <c r="BL1037" s="122"/>
    </row>
    <row r="1038" spans="62:64" x14ac:dyDescent="0.25">
      <c r="BJ1038" s="122"/>
      <c r="BK1038" s="122"/>
      <c r="BL1038" s="122"/>
    </row>
    <row r="1039" spans="62:64" x14ac:dyDescent="0.25">
      <c r="BJ1039" s="122"/>
      <c r="BK1039" s="122"/>
      <c r="BL1039" s="122"/>
    </row>
    <row r="1040" spans="62:64" x14ac:dyDescent="0.25">
      <c r="BJ1040" s="122"/>
      <c r="BK1040" s="122"/>
      <c r="BL1040" s="122"/>
    </row>
    <row r="1041" spans="62:64" x14ac:dyDescent="0.25">
      <c r="BJ1041" s="122"/>
      <c r="BK1041" s="122"/>
      <c r="BL1041" s="122"/>
    </row>
    <row r="1042" spans="62:64" x14ac:dyDescent="0.25">
      <c r="BJ1042" s="122"/>
      <c r="BK1042" s="122"/>
      <c r="BL1042" s="122"/>
    </row>
    <row r="1043" spans="62:64" x14ac:dyDescent="0.25">
      <c r="BJ1043" s="122"/>
      <c r="BK1043" s="122"/>
      <c r="BL1043" s="122"/>
    </row>
    <row r="1044" spans="62:64" x14ac:dyDescent="0.25">
      <c r="BJ1044" s="122"/>
      <c r="BK1044" s="122"/>
      <c r="BL1044" s="122"/>
    </row>
    <row r="1045" spans="62:64" x14ac:dyDescent="0.25">
      <c r="BJ1045" s="122"/>
      <c r="BK1045" s="122"/>
      <c r="BL1045" s="122"/>
    </row>
    <row r="1046" spans="62:64" x14ac:dyDescent="0.25">
      <c r="BJ1046" s="122"/>
      <c r="BK1046" s="122"/>
      <c r="BL1046" s="122"/>
    </row>
    <row r="1047" spans="62:64" x14ac:dyDescent="0.25">
      <c r="BJ1047" s="122"/>
      <c r="BK1047" s="122"/>
      <c r="BL1047" s="122"/>
    </row>
    <row r="1048" spans="62:64" x14ac:dyDescent="0.25">
      <c r="BJ1048" s="122"/>
      <c r="BK1048" s="122"/>
      <c r="BL1048" s="122"/>
    </row>
    <row r="1049" spans="62:64" x14ac:dyDescent="0.25">
      <c r="BJ1049" s="122"/>
      <c r="BK1049" s="122"/>
      <c r="BL1049" s="122"/>
    </row>
    <row r="1050" spans="62:64" x14ac:dyDescent="0.25">
      <c r="BJ1050" s="122"/>
      <c r="BK1050" s="122"/>
      <c r="BL1050" s="122"/>
    </row>
    <row r="1051" spans="62:64" x14ac:dyDescent="0.25">
      <c r="BJ1051" s="122"/>
      <c r="BK1051" s="122"/>
      <c r="BL1051" s="122"/>
    </row>
    <row r="1052" spans="62:64" x14ac:dyDescent="0.25">
      <c r="BJ1052" s="122"/>
      <c r="BK1052" s="122"/>
      <c r="BL1052" s="122"/>
    </row>
    <row r="1053" spans="62:64" x14ac:dyDescent="0.25">
      <c r="BJ1053" s="122"/>
      <c r="BK1053" s="122"/>
      <c r="BL1053" s="122"/>
    </row>
    <row r="1054" spans="62:64" x14ac:dyDescent="0.25">
      <c r="BJ1054" s="122"/>
      <c r="BK1054" s="122"/>
      <c r="BL1054" s="122"/>
    </row>
    <row r="1055" spans="62:64" x14ac:dyDescent="0.25">
      <c r="BJ1055" s="122"/>
      <c r="BK1055" s="122"/>
      <c r="BL1055" s="122"/>
    </row>
    <row r="1056" spans="62:64" x14ac:dyDescent="0.25">
      <c r="BJ1056" s="122"/>
      <c r="BK1056" s="122"/>
      <c r="BL1056" s="122"/>
    </row>
    <row r="1057" spans="62:64" x14ac:dyDescent="0.25">
      <c r="BJ1057" s="122"/>
      <c r="BK1057" s="122"/>
      <c r="BL1057" s="122"/>
    </row>
    <row r="1058" spans="62:64" x14ac:dyDescent="0.25">
      <c r="BJ1058" s="122"/>
      <c r="BK1058" s="122"/>
      <c r="BL1058" s="122"/>
    </row>
    <row r="1059" spans="62:64" x14ac:dyDescent="0.25">
      <c r="BJ1059" s="122"/>
      <c r="BK1059" s="122"/>
      <c r="BL1059" s="122"/>
    </row>
    <row r="1060" spans="62:64" x14ac:dyDescent="0.25">
      <c r="BJ1060" s="122"/>
      <c r="BK1060" s="122"/>
      <c r="BL1060" s="122"/>
    </row>
    <row r="1061" spans="62:64" x14ac:dyDescent="0.25">
      <c r="BJ1061" s="122"/>
      <c r="BK1061" s="122"/>
      <c r="BL1061" s="122"/>
    </row>
    <row r="1062" spans="62:64" x14ac:dyDescent="0.25">
      <c r="BJ1062" s="122"/>
      <c r="BK1062" s="122"/>
      <c r="BL1062" s="122"/>
    </row>
    <row r="1063" spans="62:64" x14ac:dyDescent="0.25">
      <c r="BJ1063" s="122"/>
      <c r="BK1063" s="122"/>
      <c r="BL1063" s="122"/>
    </row>
    <row r="1064" spans="62:64" x14ac:dyDescent="0.25">
      <c r="BJ1064" s="122"/>
      <c r="BK1064" s="122"/>
      <c r="BL1064" s="122"/>
    </row>
    <row r="1065" spans="62:64" x14ac:dyDescent="0.25">
      <c r="BJ1065" s="122"/>
      <c r="BK1065" s="122"/>
      <c r="BL1065" s="122"/>
    </row>
    <row r="1066" spans="62:64" x14ac:dyDescent="0.25">
      <c r="BJ1066" s="122"/>
      <c r="BK1066" s="122"/>
      <c r="BL1066" s="122"/>
    </row>
    <row r="1067" spans="62:64" x14ac:dyDescent="0.25">
      <c r="BJ1067" s="122"/>
      <c r="BK1067" s="122"/>
      <c r="BL1067" s="122"/>
    </row>
    <row r="1068" spans="62:64" x14ac:dyDescent="0.25">
      <c r="BJ1068" s="122"/>
      <c r="BK1068" s="122"/>
      <c r="BL1068" s="122"/>
    </row>
    <row r="1069" spans="62:64" x14ac:dyDescent="0.25">
      <c r="BJ1069" s="122"/>
      <c r="BK1069" s="122"/>
      <c r="BL1069" s="122"/>
    </row>
    <row r="1070" spans="62:64" x14ac:dyDescent="0.25">
      <c r="BJ1070" s="122"/>
      <c r="BK1070" s="122"/>
      <c r="BL1070" s="122"/>
    </row>
    <row r="1071" spans="62:64" x14ac:dyDescent="0.25">
      <c r="BJ1071" s="122"/>
      <c r="BK1071" s="122"/>
      <c r="BL1071" s="122"/>
    </row>
    <row r="1072" spans="62:64" x14ac:dyDescent="0.25">
      <c r="BJ1072" s="122"/>
      <c r="BK1072" s="122"/>
      <c r="BL1072" s="122"/>
    </row>
    <row r="1073" spans="62:64" x14ac:dyDescent="0.25">
      <c r="BJ1073" s="122"/>
      <c r="BK1073" s="122"/>
      <c r="BL1073" s="122"/>
    </row>
    <row r="1074" spans="62:64" x14ac:dyDescent="0.25">
      <c r="BJ1074" s="122"/>
      <c r="BK1074" s="122"/>
      <c r="BL1074" s="122"/>
    </row>
    <row r="1075" spans="62:64" x14ac:dyDescent="0.25">
      <c r="BJ1075" s="122"/>
      <c r="BK1075" s="122"/>
      <c r="BL1075" s="122"/>
    </row>
    <row r="1076" spans="62:64" x14ac:dyDescent="0.25">
      <c r="BJ1076" s="122"/>
      <c r="BK1076" s="122"/>
      <c r="BL1076" s="122"/>
    </row>
    <row r="1077" spans="62:64" x14ac:dyDescent="0.25">
      <c r="BJ1077" s="122"/>
      <c r="BK1077" s="122"/>
      <c r="BL1077" s="122"/>
    </row>
    <row r="1078" spans="62:64" x14ac:dyDescent="0.25">
      <c r="BJ1078" s="122"/>
      <c r="BK1078" s="122"/>
      <c r="BL1078" s="122"/>
    </row>
    <row r="1079" spans="62:64" x14ac:dyDescent="0.25">
      <c r="BJ1079" s="122"/>
      <c r="BK1079" s="122"/>
      <c r="BL1079" s="122"/>
    </row>
    <row r="1080" spans="62:64" x14ac:dyDescent="0.25">
      <c r="BJ1080" s="122"/>
      <c r="BK1080" s="122"/>
      <c r="BL1080" s="122"/>
    </row>
    <row r="1081" spans="62:64" x14ac:dyDescent="0.25">
      <c r="BJ1081" s="122"/>
      <c r="BK1081" s="122"/>
      <c r="BL1081" s="122"/>
    </row>
    <row r="1082" spans="62:64" x14ac:dyDescent="0.25">
      <c r="BJ1082" s="122"/>
      <c r="BK1082" s="122"/>
      <c r="BL1082" s="122"/>
    </row>
    <row r="1083" spans="62:64" x14ac:dyDescent="0.25">
      <c r="BJ1083" s="122"/>
      <c r="BK1083" s="122"/>
      <c r="BL1083" s="122"/>
    </row>
    <row r="1084" spans="62:64" x14ac:dyDescent="0.25">
      <c r="BJ1084" s="122"/>
      <c r="BK1084" s="122"/>
      <c r="BL1084" s="122"/>
    </row>
    <row r="1085" spans="62:64" x14ac:dyDescent="0.25">
      <c r="BJ1085" s="122"/>
      <c r="BK1085" s="122"/>
      <c r="BL1085" s="122"/>
    </row>
    <row r="1086" spans="62:64" x14ac:dyDescent="0.25">
      <c r="BJ1086" s="122"/>
      <c r="BK1086" s="122"/>
      <c r="BL1086" s="122"/>
    </row>
    <row r="1087" spans="62:64" x14ac:dyDescent="0.25">
      <c r="BJ1087" s="122"/>
      <c r="BK1087" s="122"/>
      <c r="BL1087" s="122"/>
    </row>
    <row r="1088" spans="62:64" x14ac:dyDescent="0.25">
      <c r="BJ1088" s="122"/>
      <c r="BK1088" s="122"/>
      <c r="BL1088" s="122"/>
    </row>
    <row r="1089" spans="62:64" x14ac:dyDescent="0.25">
      <c r="BJ1089" s="122"/>
      <c r="BK1089" s="122"/>
      <c r="BL1089" s="122"/>
    </row>
    <row r="1090" spans="62:64" x14ac:dyDescent="0.25">
      <c r="BJ1090" s="122"/>
      <c r="BK1090" s="122"/>
      <c r="BL1090" s="122"/>
    </row>
    <row r="1091" spans="62:64" x14ac:dyDescent="0.25">
      <c r="BJ1091" s="122"/>
      <c r="BK1091" s="122"/>
      <c r="BL1091" s="122"/>
    </row>
    <row r="1092" spans="62:64" x14ac:dyDescent="0.25">
      <c r="BJ1092" s="122"/>
      <c r="BK1092" s="122"/>
      <c r="BL1092" s="122"/>
    </row>
    <row r="1093" spans="62:64" x14ac:dyDescent="0.25">
      <c r="BJ1093" s="122"/>
      <c r="BK1093" s="122"/>
      <c r="BL1093" s="122"/>
    </row>
    <row r="1094" spans="62:64" x14ac:dyDescent="0.25">
      <c r="BJ1094" s="122"/>
      <c r="BK1094" s="122"/>
      <c r="BL1094" s="122"/>
    </row>
    <row r="1095" spans="62:64" x14ac:dyDescent="0.25">
      <c r="BJ1095" s="122"/>
      <c r="BK1095" s="122"/>
      <c r="BL1095" s="122"/>
    </row>
    <row r="1096" spans="62:64" x14ac:dyDescent="0.25">
      <c r="BJ1096" s="122"/>
      <c r="BK1096" s="122"/>
      <c r="BL1096" s="122"/>
    </row>
    <row r="1097" spans="62:64" x14ac:dyDescent="0.25">
      <c r="BJ1097" s="122"/>
      <c r="BK1097" s="122"/>
      <c r="BL1097" s="122"/>
    </row>
    <row r="1098" spans="62:64" x14ac:dyDescent="0.25">
      <c r="BJ1098" s="122"/>
      <c r="BK1098" s="122"/>
      <c r="BL1098" s="122"/>
    </row>
    <row r="1099" spans="62:64" x14ac:dyDescent="0.25">
      <c r="BJ1099" s="122"/>
      <c r="BK1099" s="122"/>
      <c r="BL1099" s="122"/>
    </row>
    <row r="1100" spans="62:64" x14ac:dyDescent="0.25">
      <c r="BJ1100" s="122"/>
      <c r="BK1100" s="122"/>
      <c r="BL1100" s="122"/>
    </row>
    <row r="1101" spans="62:64" x14ac:dyDescent="0.25">
      <c r="BJ1101" s="122"/>
      <c r="BK1101" s="122"/>
      <c r="BL1101" s="122"/>
    </row>
    <row r="1102" spans="62:64" x14ac:dyDescent="0.25">
      <c r="BJ1102" s="122"/>
      <c r="BK1102" s="122"/>
      <c r="BL1102" s="122"/>
    </row>
    <row r="1103" spans="62:64" x14ac:dyDescent="0.25">
      <c r="BJ1103" s="122"/>
      <c r="BK1103" s="122"/>
      <c r="BL1103" s="122"/>
    </row>
    <row r="1104" spans="62:64" x14ac:dyDescent="0.25">
      <c r="BJ1104" s="122"/>
      <c r="BK1104" s="122"/>
      <c r="BL1104" s="122"/>
    </row>
    <row r="1105" spans="62:64" x14ac:dyDescent="0.25">
      <c r="BJ1105" s="122"/>
      <c r="BK1105" s="122"/>
      <c r="BL1105" s="122"/>
    </row>
    <row r="1106" spans="62:64" x14ac:dyDescent="0.25">
      <c r="BJ1106" s="122"/>
      <c r="BK1106" s="122"/>
      <c r="BL1106" s="122"/>
    </row>
    <row r="1107" spans="62:64" x14ac:dyDescent="0.25">
      <c r="BJ1107" s="122"/>
      <c r="BK1107" s="122"/>
      <c r="BL1107" s="122"/>
    </row>
    <row r="1108" spans="62:64" x14ac:dyDescent="0.25">
      <c r="BJ1108" s="122"/>
      <c r="BK1108" s="122"/>
      <c r="BL1108" s="122"/>
    </row>
    <row r="1109" spans="62:64" x14ac:dyDescent="0.25">
      <c r="BJ1109" s="122"/>
      <c r="BK1109" s="122"/>
      <c r="BL1109" s="122"/>
    </row>
    <row r="1110" spans="62:64" x14ac:dyDescent="0.25">
      <c r="BJ1110" s="122"/>
      <c r="BK1110" s="122"/>
      <c r="BL1110" s="122"/>
    </row>
    <row r="1111" spans="62:64" x14ac:dyDescent="0.25">
      <c r="BJ1111" s="122"/>
      <c r="BK1111" s="122"/>
      <c r="BL1111" s="122"/>
    </row>
    <row r="1112" spans="62:64" x14ac:dyDescent="0.25">
      <c r="BJ1112" s="122"/>
      <c r="BK1112" s="122"/>
      <c r="BL1112" s="122"/>
    </row>
    <row r="1113" spans="62:64" x14ac:dyDescent="0.25">
      <c r="BJ1113" s="122"/>
      <c r="BK1113" s="122"/>
      <c r="BL1113" s="122"/>
    </row>
    <row r="1114" spans="62:64" x14ac:dyDescent="0.25">
      <c r="BJ1114" s="122"/>
      <c r="BK1114" s="122"/>
      <c r="BL1114" s="122"/>
    </row>
    <row r="1115" spans="62:64" x14ac:dyDescent="0.25">
      <c r="BJ1115" s="122"/>
      <c r="BK1115" s="122"/>
      <c r="BL1115" s="122"/>
    </row>
    <row r="1116" spans="62:64" x14ac:dyDescent="0.25">
      <c r="BJ1116" s="122"/>
      <c r="BK1116" s="122"/>
      <c r="BL1116" s="122"/>
    </row>
    <row r="1117" spans="62:64" x14ac:dyDescent="0.25">
      <c r="BJ1117" s="122"/>
      <c r="BK1117" s="122"/>
      <c r="BL1117" s="122"/>
    </row>
    <row r="1118" spans="62:64" x14ac:dyDescent="0.25">
      <c r="BJ1118" s="122"/>
      <c r="BK1118" s="122"/>
      <c r="BL1118" s="122"/>
    </row>
    <row r="1119" spans="62:64" x14ac:dyDescent="0.25">
      <c r="BJ1119" s="122"/>
      <c r="BK1119" s="122"/>
      <c r="BL1119" s="122"/>
    </row>
    <row r="1120" spans="62:64" x14ac:dyDescent="0.25">
      <c r="BJ1120" s="122"/>
      <c r="BK1120" s="122"/>
      <c r="BL1120" s="122"/>
    </row>
    <row r="1121" spans="62:64" x14ac:dyDescent="0.25">
      <c r="BJ1121" s="122"/>
      <c r="BK1121" s="122"/>
      <c r="BL1121" s="122"/>
    </row>
    <row r="1122" spans="62:64" x14ac:dyDescent="0.25">
      <c r="BJ1122" s="122"/>
      <c r="BK1122" s="122"/>
      <c r="BL1122" s="122"/>
    </row>
    <row r="1123" spans="62:64" x14ac:dyDescent="0.25">
      <c r="BJ1123" s="122"/>
      <c r="BK1123" s="122"/>
      <c r="BL1123" s="122"/>
    </row>
    <row r="1124" spans="62:64" x14ac:dyDescent="0.25">
      <c r="BJ1124" s="122"/>
      <c r="BK1124" s="122"/>
      <c r="BL1124" s="122"/>
    </row>
    <row r="1125" spans="62:64" x14ac:dyDescent="0.25">
      <c r="BJ1125" s="122"/>
      <c r="BK1125" s="122"/>
      <c r="BL1125" s="122"/>
    </row>
    <row r="1126" spans="62:64" x14ac:dyDescent="0.25">
      <c r="BJ1126" s="122"/>
      <c r="BK1126" s="122"/>
      <c r="BL1126" s="122"/>
    </row>
    <row r="1127" spans="62:64" x14ac:dyDescent="0.25">
      <c r="BJ1127" s="122"/>
      <c r="BK1127" s="122"/>
      <c r="BL1127" s="122"/>
    </row>
    <row r="1128" spans="62:64" x14ac:dyDescent="0.25">
      <c r="BJ1128" s="122"/>
      <c r="BK1128" s="122"/>
      <c r="BL1128" s="122"/>
    </row>
    <row r="1129" spans="62:64" x14ac:dyDescent="0.25">
      <c r="BJ1129" s="122"/>
      <c r="BK1129" s="122"/>
      <c r="BL1129" s="122"/>
    </row>
    <row r="1130" spans="62:64" x14ac:dyDescent="0.25">
      <c r="BJ1130" s="122"/>
      <c r="BK1130" s="122"/>
      <c r="BL1130" s="122"/>
    </row>
    <row r="1131" spans="62:64" x14ac:dyDescent="0.25">
      <c r="BJ1131" s="122"/>
      <c r="BK1131" s="122"/>
      <c r="BL1131" s="122"/>
    </row>
    <row r="1132" spans="62:64" x14ac:dyDescent="0.25">
      <c r="BJ1132" s="122"/>
      <c r="BK1132" s="122"/>
      <c r="BL1132" s="122"/>
    </row>
    <row r="1133" spans="62:64" x14ac:dyDescent="0.25">
      <c r="BJ1133" s="122"/>
      <c r="BK1133" s="122"/>
      <c r="BL1133" s="122"/>
    </row>
    <row r="1134" spans="62:64" x14ac:dyDescent="0.25">
      <c r="BJ1134" s="122"/>
      <c r="BK1134" s="122"/>
      <c r="BL1134" s="122"/>
    </row>
    <row r="1135" spans="62:64" x14ac:dyDescent="0.25">
      <c r="BJ1135" s="122"/>
      <c r="BK1135" s="122"/>
      <c r="BL1135" s="122"/>
    </row>
    <row r="1136" spans="62:64" x14ac:dyDescent="0.25">
      <c r="BJ1136" s="122"/>
      <c r="BK1136" s="122"/>
      <c r="BL1136" s="122"/>
    </row>
    <row r="1137" spans="62:64" x14ac:dyDescent="0.25">
      <c r="BJ1137" s="122"/>
      <c r="BK1137" s="122"/>
      <c r="BL1137" s="122"/>
    </row>
    <row r="1138" spans="62:64" x14ac:dyDescent="0.25">
      <c r="BJ1138" s="122"/>
      <c r="BK1138" s="122"/>
      <c r="BL1138" s="122"/>
    </row>
    <row r="1139" spans="62:64" x14ac:dyDescent="0.25">
      <c r="BJ1139" s="122"/>
      <c r="BK1139" s="122"/>
      <c r="BL1139" s="122"/>
    </row>
    <row r="1140" spans="62:64" x14ac:dyDescent="0.25">
      <c r="BJ1140" s="122"/>
      <c r="BK1140" s="122"/>
      <c r="BL1140" s="122"/>
    </row>
    <row r="1141" spans="62:64" x14ac:dyDescent="0.25">
      <c r="BJ1141" s="122"/>
      <c r="BK1141" s="122"/>
      <c r="BL1141" s="122"/>
    </row>
    <row r="1142" spans="62:64" x14ac:dyDescent="0.25">
      <c r="BJ1142" s="122"/>
      <c r="BK1142" s="122"/>
      <c r="BL1142" s="122"/>
    </row>
    <row r="1143" spans="62:64" x14ac:dyDescent="0.25">
      <c r="BJ1143" s="122"/>
      <c r="BK1143" s="122"/>
      <c r="BL1143" s="122"/>
    </row>
    <row r="1144" spans="62:64" x14ac:dyDescent="0.25">
      <c r="BJ1144" s="122"/>
      <c r="BK1144" s="122"/>
      <c r="BL1144" s="122"/>
    </row>
    <row r="1145" spans="62:64" x14ac:dyDescent="0.25">
      <c r="BJ1145" s="122"/>
      <c r="BK1145" s="122"/>
      <c r="BL1145" s="122"/>
    </row>
    <row r="1146" spans="62:64" x14ac:dyDescent="0.25">
      <c r="BJ1146" s="122"/>
      <c r="BK1146" s="122"/>
      <c r="BL1146" s="122"/>
    </row>
    <row r="1147" spans="62:64" x14ac:dyDescent="0.25">
      <c r="BJ1147" s="122"/>
      <c r="BK1147" s="122"/>
      <c r="BL1147" s="122"/>
    </row>
    <row r="1148" spans="62:64" x14ac:dyDescent="0.25">
      <c r="BJ1148" s="122"/>
      <c r="BK1148" s="122"/>
      <c r="BL1148" s="122"/>
    </row>
    <row r="1149" spans="62:64" x14ac:dyDescent="0.25">
      <c r="BJ1149" s="122"/>
      <c r="BK1149" s="122"/>
      <c r="BL1149" s="122"/>
    </row>
    <row r="1150" spans="62:64" x14ac:dyDescent="0.25">
      <c r="BJ1150" s="122"/>
      <c r="BK1150" s="122"/>
      <c r="BL1150" s="122"/>
    </row>
    <row r="1151" spans="62:64" x14ac:dyDescent="0.25">
      <c r="BJ1151" s="122"/>
      <c r="BK1151" s="122"/>
      <c r="BL1151" s="122"/>
    </row>
    <row r="1152" spans="62:64" x14ac:dyDescent="0.25">
      <c r="BJ1152" s="122"/>
      <c r="BK1152" s="122"/>
      <c r="BL1152" s="122"/>
    </row>
    <row r="1153" spans="62:64" x14ac:dyDescent="0.25">
      <c r="BJ1153" s="122"/>
      <c r="BK1153" s="122"/>
      <c r="BL1153" s="122"/>
    </row>
    <row r="1154" spans="62:64" x14ac:dyDescent="0.25">
      <c r="BJ1154" s="122"/>
      <c r="BK1154" s="122"/>
      <c r="BL1154" s="122"/>
    </row>
    <row r="1155" spans="62:64" x14ac:dyDescent="0.25">
      <c r="BJ1155" s="122"/>
      <c r="BK1155" s="122"/>
      <c r="BL1155" s="122"/>
    </row>
    <row r="1156" spans="62:64" x14ac:dyDescent="0.25">
      <c r="BJ1156" s="122"/>
      <c r="BK1156" s="122"/>
      <c r="BL1156" s="122"/>
    </row>
    <row r="1157" spans="62:64" x14ac:dyDescent="0.25">
      <c r="BJ1157" s="122"/>
      <c r="BK1157" s="122"/>
      <c r="BL1157" s="122"/>
    </row>
    <row r="1158" spans="62:64" x14ac:dyDescent="0.25">
      <c r="BJ1158" s="122"/>
      <c r="BK1158" s="122"/>
      <c r="BL1158" s="122"/>
    </row>
    <row r="1159" spans="62:64" x14ac:dyDescent="0.25">
      <c r="BJ1159" s="122"/>
      <c r="BK1159" s="122"/>
      <c r="BL1159" s="122"/>
    </row>
    <row r="1160" spans="62:64" x14ac:dyDescent="0.25">
      <c r="BJ1160" s="122"/>
      <c r="BK1160" s="122"/>
      <c r="BL1160" s="122"/>
    </row>
    <row r="1161" spans="62:64" x14ac:dyDescent="0.25">
      <c r="BJ1161" s="122"/>
      <c r="BK1161" s="122"/>
      <c r="BL1161" s="122"/>
    </row>
    <row r="1162" spans="62:64" x14ac:dyDescent="0.25">
      <c r="BJ1162" s="122"/>
      <c r="BK1162" s="122"/>
      <c r="BL1162" s="122"/>
    </row>
    <row r="1163" spans="62:64" x14ac:dyDescent="0.25">
      <c r="BJ1163" s="122"/>
      <c r="BK1163" s="122"/>
      <c r="BL1163" s="122"/>
    </row>
    <row r="1164" spans="62:64" x14ac:dyDescent="0.25">
      <c r="BJ1164" s="122"/>
      <c r="BK1164" s="122"/>
      <c r="BL1164" s="122"/>
    </row>
    <row r="1165" spans="62:64" x14ac:dyDescent="0.25">
      <c r="BJ1165" s="122"/>
      <c r="BK1165" s="122"/>
      <c r="BL1165" s="122"/>
    </row>
    <row r="1166" spans="62:64" x14ac:dyDescent="0.25">
      <c r="BJ1166" s="122"/>
      <c r="BK1166" s="122"/>
      <c r="BL1166" s="122"/>
    </row>
    <row r="1167" spans="62:64" x14ac:dyDescent="0.25">
      <c r="BJ1167" s="122"/>
      <c r="BK1167" s="122"/>
      <c r="BL1167" s="122"/>
    </row>
    <row r="1168" spans="62:64" x14ac:dyDescent="0.25">
      <c r="BJ1168" s="122"/>
      <c r="BK1168" s="122"/>
      <c r="BL1168" s="122"/>
    </row>
    <row r="1169" spans="62:64" x14ac:dyDescent="0.25">
      <c r="BJ1169" s="122"/>
      <c r="BK1169" s="122"/>
      <c r="BL1169" s="122"/>
    </row>
    <row r="1170" spans="62:64" x14ac:dyDescent="0.25">
      <c r="BJ1170" s="122"/>
      <c r="BK1170" s="122"/>
      <c r="BL1170" s="122"/>
    </row>
    <row r="1171" spans="62:64" x14ac:dyDescent="0.25">
      <c r="BJ1171" s="122"/>
      <c r="BK1171" s="122"/>
      <c r="BL1171" s="122"/>
    </row>
    <row r="1172" spans="62:64" x14ac:dyDescent="0.25">
      <c r="BJ1172" s="122"/>
      <c r="BK1172" s="122"/>
      <c r="BL1172" s="122"/>
    </row>
    <row r="1173" spans="62:64" x14ac:dyDescent="0.25">
      <c r="BJ1173" s="122"/>
      <c r="BK1173" s="122"/>
      <c r="BL1173" s="122"/>
    </row>
    <row r="1174" spans="62:64" x14ac:dyDescent="0.25">
      <c r="BJ1174" s="122"/>
      <c r="BK1174" s="122"/>
      <c r="BL1174" s="122"/>
    </row>
    <row r="1175" spans="62:64" x14ac:dyDescent="0.25">
      <c r="BJ1175" s="122"/>
      <c r="BK1175" s="122"/>
      <c r="BL1175" s="122"/>
    </row>
    <row r="1176" spans="62:64" x14ac:dyDescent="0.25">
      <c r="BJ1176" s="122"/>
      <c r="BK1176" s="122"/>
      <c r="BL1176" s="122"/>
    </row>
    <row r="1177" spans="62:64" x14ac:dyDescent="0.25">
      <c r="BJ1177" s="122"/>
      <c r="BK1177" s="122"/>
      <c r="BL1177" s="122"/>
    </row>
    <row r="1178" spans="62:64" x14ac:dyDescent="0.25">
      <c r="BJ1178" s="122"/>
      <c r="BK1178" s="122"/>
      <c r="BL1178" s="122"/>
    </row>
    <row r="1179" spans="62:64" x14ac:dyDescent="0.25">
      <c r="BJ1179" s="122"/>
      <c r="BK1179" s="122"/>
      <c r="BL1179" s="122"/>
    </row>
    <row r="1180" spans="62:64" x14ac:dyDescent="0.25">
      <c r="BJ1180" s="122"/>
      <c r="BK1180" s="122"/>
      <c r="BL1180" s="122"/>
    </row>
    <row r="1181" spans="62:64" x14ac:dyDescent="0.25">
      <c r="BJ1181" s="122"/>
      <c r="BK1181" s="122"/>
      <c r="BL1181" s="122"/>
    </row>
    <row r="1182" spans="62:64" x14ac:dyDescent="0.25">
      <c r="BJ1182" s="122"/>
      <c r="BK1182" s="122"/>
      <c r="BL1182" s="122"/>
    </row>
    <row r="1183" spans="62:64" x14ac:dyDescent="0.25">
      <c r="BJ1183" s="122"/>
      <c r="BK1183" s="122"/>
      <c r="BL1183" s="122"/>
    </row>
    <row r="1184" spans="62:64" x14ac:dyDescent="0.25">
      <c r="BJ1184" s="122"/>
      <c r="BK1184" s="122"/>
      <c r="BL1184" s="122"/>
    </row>
    <row r="1185" spans="62:64" x14ac:dyDescent="0.25">
      <c r="BJ1185" s="122"/>
      <c r="BK1185" s="122"/>
      <c r="BL1185" s="122"/>
    </row>
    <row r="1186" spans="62:64" x14ac:dyDescent="0.25">
      <c r="BJ1186" s="122"/>
      <c r="BK1186" s="122"/>
      <c r="BL1186" s="122"/>
    </row>
    <row r="1187" spans="62:64" x14ac:dyDescent="0.25">
      <c r="BJ1187" s="122"/>
      <c r="BK1187" s="122"/>
      <c r="BL1187" s="122"/>
    </row>
    <row r="1188" spans="62:64" x14ac:dyDescent="0.25">
      <c r="BJ1188" s="122"/>
      <c r="BK1188" s="122"/>
      <c r="BL1188" s="122"/>
    </row>
    <row r="1189" spans="62:64" x14ac:dyDescent="0.25">
      <c r="BJ1189" s="122"/>
      <c r="BK1189" s="122"/>
      <c r="BL1189" s="122"/>
    </row>
    <row r="1190" spans="62:64" x14ac:dyDescent="0.25">
      <c r="BJ1190" s="122"/>
      <c r="BK1190" s="122"/>
      <c r="BL1190" s="122"/>
    </row>
    <row r="1191" spans="62:64" x14ac:dyDescent="0.25">
      <c r="BJ1191" s="122"/>
      <c r="BK1191" s="122"/>
      <c r="BL1191" s="122"/>
    </row>
    <row r="1192" spans="62:64" x14ac:dyDescent="0.25">
      <c r="BJ1192" s="122"/>
      <c r="BK1192" s="122"/>
      <c r="BL1192" s="122"/>
    </row>
    <row r="1193" spans="62:64" x14ac:dyDescent="0.25">
      <c r="BJ1193" s="122"/>
      <c r="BK1193" s="122"/>
      <c r="BL1193" s="122"/>
    </row>
    <row r="1194" spans="62:64" x14ac:dyDescent="0.25">
      <c r="BJ1194" s="122"/>
      <c r="BK1194" s="122"/>
      <c r="BL1194" s="122"/>
    </row>
    <row r="1195" spans="62:64" x14ac:dyDescent="0.25">
      <c r="BJ1195" s="122"/>
      <c r="BK1195" s="122"/>
      <c r="BL1195" s="122"/>
    </row>
    <row r="1196" spans="62:64" x14ac:dyDescent="0.25">
      <c r="BJ1196" s="122"/>
      <c r="BK1196" s="122"/>
      <c r="BL1196" s="122"/>
    </row>
    <row r="1197" spans="62:64" x14ac:dyDescent="0.25">
      <c r="BJ1197" s="122"/>
      <c r="BK1197" s="122"/>
      <c r="BL1197" s="122"/>
    </row>
    <row r="1198" spans="62:64" x14ac:dyDescent="0.25">
      <c r="BJ1198" s="122"/>
      <c r="BK1198" s="122"/>
      <c r="BL1198" s="122"/>
    </row>
    <row r="1199" spans="62:64" x14ac:dyDescent="0.25">
      <c r="BJ1199" s="122"/>
      <c r="BK1199" s="122"/>
      <c r="BL1199" s="122"/>
    </row>
    <row r="1200" spans="62:64" x14ac:dyDescent="0.25">
      <c r="BJ1200" s="122"/>
      <c r="BK1200" s="122"/>
      <c r="BL1200" s="122"/>
    </row>
    <row r="1201" spans="62:64" x14ac:dyDescent="0.25">
      <c r="BJ1201" s="122"/>
      <c r="BK1201" s="122"/>
      <c r="BL1201" s="122"/>
    </row>
    <row r="1202" spans="62:64" x14ac:dyDescent="0.25">
      <c r="BJ1202" s="122"/>
      <c r="BK1202" s="122"/>
      <c r="BL1202" s="122"/>
    </row>
    <row r="1203" spans="62:64" x14ac:dyDescent="0.25">
      <c r="BJ1203" s="122"/>
      <c r="BK1203" s="122"/>
      <c r="BL1203" s="122"/>
    </row>
    <row r="1204" spans="62:64" x14ac:dyDescent="0.25">
      <c r="BJ1204" s="122"/>
      <c r="BK1204" s="122"/>
      <c r="BL1204" s="122"/>
    </row>
    <row r="1205" spans="62:64" x14ac:dyDescent="0.25">
      <c r="BJ1205" s="122"/>
      <c r="BK1205" s="122"/>
      <c r="BL1205" s="122"/>
    </row>
    <row r="1206" spans="62:64" x14ac:dyDescent="0.25">
      <c r="BJ1206" s="122"/>
      <c r="BK1206" s="122"/>
      <c r="BL1206" s="122"/>
    </row>
    <row r="1207" spans="62:64" x14ac:dyDescent="0.25">
      <c r="BJ1207" s="122"/>
      <c r="BK1207" s="122"/>
      <c r="BL1207" s="122"/>
    </row>
    <row r="1208" spans="62:64" x14ac:dyDescent="0.25">
      <c r="BJ1208" s="122"/>
      <c r="BK1208" s="122"/>
      <c r="BL1208" s="122"/>
    </row>
    <row r="1209" spans="62:64" x14ac:dyDescent="0.25">
      <c r="BJ1209" s="122"/>
      <c r="BK1209" s="122"/>
      <c r="BL1209" s="122"/>
    </row>
    <row r="1210" spans="62:64" x14ac:dyDescent="0.25">
      <c r="BJ1210" s="122"/>
      <c r="BK1210" s="122"/>
      <c r="BL1210" s="122"/>
    </row>
    <row r="1211" spans="62:64" x14ac:dyDescent="0.25">
      <c r="BJ1211" s="122"/>
      <c r="BK1211" s="122"/>
      <c r="BL1211" s="122"/>
    </row>
    <row r="1212" spans="62:64" x14ac:dyDescent="0.25">
      <c r="BJ1212" s="122"/>
      <c r="BK1212" s="122"/>
      <c r="BL1212" s="122"/>
    </row>
    <row r="1213" spans="62:64" x14ac:dyDescent="0.25">
      <c r="BJ1213" s="122"/>
      <c r="BK1213" s="122"/>
      <c r="BL1213" s="122"/>
    </row>
    <row r="1214" spans="62:64" x14ac:dyDescent="0.25">
      <c r="BJ1214" s="122"/>
      <c r="BK1214" s="122"/>
      <c r="BL1214" s="122"/>
    </row>
    <row r="1215" spans="62:64" x14ac:dyDescent="0.25">
      <c r="BJ1215" s="122"/>
      <c r="BK1215" s="122"/>
      <c r="BL1215" s="122"/>
    </row>
    <row r="1216" spans="62:64" x14ac:dyDescent="0.25">
      <c r="BJ1216" s="122"/>
      <c r="BK1216" s="122"/>
      <c r="BL1216" s="122"/>
    </row>
    <row r="1217" spans="62:64" x14ac:dyDescent="0.25">
      <c r="BJ1217" s="122"/>
      <c r="BK1217" s="122"/>
      <c r="BL1217" s="122"/>
    </row>
    <row r="1218" spans="62:64" x14ac:dyDescent="0.25">
      <c r="BJ1218" s="122"/>
      <c r="BK1218" s="122"/>
      <c r="BL1218" s="122"/>
    </row>
    <row r="1219" spans="62:64" x14ac:dyDescent="0.25">
      <c r="BJ1219" s="122"/>
      <c r="BK1219" s="122"/>
      <c r="BL1219" s="122"/>
    </row>
    <row r="1220" spans="62:64" x14ac:dyDescent="0.25">
      <c r="BJ1220" s="122"/>
      <c r="BK1220" s="122"/>
      <c r="BL1220" s="122"/>
    </row>
    <row r="1221" spans="62:64" x14ac:dyDescent="0.25">
      <c r="BJ1221" s="122"/>
      <c r="BK1221" s="122"/>
      <c r="BL1221" s="122"/>
    </row>
    <row r="1222" spans="62:64" x14ac:dyDescent="0.25">
      <c r="BJ1222" s="122"/>
      <c r="BK1222" s="122"/>
      <c r="BL1222" s="122"/>
    </row>
    <row r="1223" spans="62:64" x14ac:dyDescent="0.25">
      <c r="BJ1223" s="122"/>
      <c r="BK1223" s="122"/>
      <c r="BL1223" s="122"/>
    </row>
    <row r="1224" spans="62:64" x14ac:dyDescent="0.25">
      <c r="BJ1224" s="122"/>
      <c r="BK1224" s="122"/>
      <c r="BL1224" s="122"/>
    </row>
    <row r="1225" spans="62:64" x14ac:dyDescent="0.25">
      <c r="BJ1225" s="122"/>
      <c r="BK1225" s="122"/>
      <c r="BL1225" s="122"/>
    </row>
    <row r="1226" spans="62:64" x14ac:dyDescent="0.25">
      <c r="BJ1226" s="122"/>
      <c r="BK1226" s="122"/>
      <c r="BL1226" s="122"/>
    </row>
    <row r="1227" spans="62:64" x14ac:dyDescent="0.25">
      <c r="BJ1227" s="122"/>
      <c r="BK1227" s="122"/>
      <c r="BL1227" s="122"/>
    </row>
    <row r="1228" spans="62:64" x14ac:dyDescent="0.25">
      <c r="BJ1228" s="122"/>
      <c r="BK1228" s="122"/>
      <c r="BL1228" s="122"/>
    </row>
    <row r="1229" spans="62:64" x14ac:dyDescent="0.25">
      <c r="BJ1229" s="122"/>
      <c r="BK1229" s="122"/>
      <c r="BL1229" s="122"/>
    </row>
    <row r="1230" spans="62:64" x14ac:dyDescent="0.25">
      <c r="BJ1230" s="122"/>
      <c r="BK1230" s="122"/>
      <c r="BL1230" s="122"/>
    </row>
    <row r="1231" spans="62:64" x14ac:dyDescent="0.25">
      <c r="BJ1231" s="122"/>
      <c r="BK1231" s="122"/>
      <c r="BL1231" s="122"/>
    </row>
    <row r="1232" spans="62:64" x14ac:dyDescent="0.25">
      <c r="BJ1232" s="122"/>
      <c r="BK1232" s="122"/>
      <c r="BL1232" s="122"/>
    </row>
    <row r="1233" spans="62:64" x14ac:dyDescent="0.25">
      <c r="BJ1233" s="122"/>
      <c r="BK1233" s="122"/>
      <c r="BL1233" s="122"/>
    </row>
    <row r="1234" spans="62:64" x14ac:dyDescent="0.25">
      <c r="BJ1234" s="122"/>
      <c r="BK1234" s="122"/>
      <c r="BL1234" s="122"/>
    </row>
    <row r="1235" spans="62:64" x14ac:dyDescent="0.25">
      <c r="BJ1235" s="122"/>
      <c r="BK1235" s="122"/>
      <c r="BL1235" s="122"/>
    </row>
    <row r="1236" spans="62:64" x14ac:dyDescent="0.25">
      <c r="BJ1236" s="122"/>
      <c r="BK1236" s="122"/>
      <c r="BL1236" s="122"/>
    </row>
    <row r="1237" spans="62:64" x14ac:dyDescent="0.25">
      <c r="BJ1237" s="122"/>
      <c r="BK1237" s="122"/>
      <c r="BL1237" s="122"/>
    </row>
    <row r="1238" spans="62:64" x14ac:dyDescent="0.25">
      <c r="BJ1238" s="122"/>
      <c r="BK1238" s="122"/>
      <c r="BL1238" s="122"/>
    </row>
    <row r="1239" spans="62:64" x14ac:dyDescent="0.25">
      <c r="BJ1239" s="122"/>
      <c r="BK1239" s="122"/>
      <c r="BL1239" s="122"/>
    </row>
    <row r="1240" spans="62:64" x14ac:dyDescent="0.25">
      <c r="BJ1240" s="122"/>
      <c r="BK1240" s="122"/>
      <c r="BL1240" s="122"/>
    </row>
    <row r="1241" spans="62:64" x14ac:dyDescent="0.25">
      <c r="BJ1241" s="122"/>
      <c r="BK1241" s="122"/>
      <c r="BL1241" s="122"/>
    </row>
    <row r="1242" spans="62:64" x14ac:dyDescent="0.25">
      <c r="BJ1242" s="122"/>
      <c r="BK1242" s="122"/>
      <c r="BL1242" s="122"/>
    </row>
    <row r="1243" spans="62:64" x14ac:dyDescent="0.25">
      <c r="BJ1243" s="122"/>
      <c r="BK1243" s="122"/>
      <c r="BL1243" s="122"/>
    </row>
    <row r="1244" spans="62:64" x14ac:dyDescent="0.25">
      <c r="BJ1244" s="122"/>
      <c r="BK1244" s="122"/>
      <c r="BL1244" s="122"/>
    </row>
    <row r="1245" spans="62:64" x14ac:dyDescent="0.25">
      <c r="BJ1245" s="122"/>
      <c r="BK1245" s="122"/>
      <c r="BL1245" s="122"/>
    </row>
    <row r="1246" spans="62:64" x14ac:dyDescent="0.25">
      <c r="BJ1246" s="122"/>
      <c r="BK1246" s="122"/>
      <c r="BL1246" s="122"/>
    </row>
    <row r="1247" spans="62:64" x14ac:dyDescent="0.25">
      <c r="BJ1247" s="122"/>
      <c r="BK1247" s="122"/>
      <c r="BL1247" s="122"/>
    </row>
    <row r="1248" spans="62:64" x14ac:dyDescent="0.25">
      <c r="BJ1248" s="122"/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  <c r="BK1250" s="122"/>
      <c r="BL1250" s="122"/>
    </row>
    <row r="1251" spans="62:64" x14ac:dyDescent="0.25">
      <c r="BJ1251" s="122"/>
      <c r="BK1251" s="122"/>
      <c r="BL1251" s="122"/>
    </row>
    <row r="1252" spans="62:64" x14ac:dyDescent="0.25">
      <c r="BJ1252" s="122"/>
      <c r="BK1252" s="122"/>
      <c r="BL1252" s="122"/>
    </row>
    <row r="1253" spans="62:64" x14ac:dyDescent="0.25">
      <c r="BJ1253" s="122"/>
      <c r="BK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  <c r="BL1257" s="122"/>
    </row>
    <row r="1258" spans="62:64" x14ac:dyDescent="0.25">
      <c r="BJ1258" s="122"/>
      <c r="BK1258" s="122"/>
      <c r="BL1258" s="122"/>
    </row>
    <row r="1259" spans="62:64" x14ac:dyDescent="0.25">
      <c r="BJ1259" s="122"/>
      <c r="BK1259" s="122"/>
      <c r="BL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  <c r="BL1261" s="122"/>
    </row>
    <row r="1262" spans="62:64" x14ac:dyDescent="0.25">
      <c r="BJ1262" s="122"/>
      <c r="BK1262" s="122"/>
      <c r="BL1262" s="122"/>
    </row>
    <row r="1263" spans="62:64" x14ac:dyDescent="0.25">
      <c r="BJ1263" s="122"/>
      <c r="BK1263" s="122"/>
      <c r="BL1263" s="122"/>
    </row>
    <row r="1264" spans="62:64" x14ac:dyDescent="0.25">
      <c r="BJ1264" s="122"/>
      <c r="BK1264" s="122"/>
      <c r="BL1264" s="122"/>
    </row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1" spans="62:64" x14ac:dyDescent="0.25">
      <c r="BJ1271" s="122"/>
      <c r="BK1271" s="122"/>
      <c r="BL1271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="122" customFormat="1" x14ac:dyDescent="0.25"/>
    <row r="1282" s="122" customFormat="1" x14ac:dyDescent="0.25"/>
    <row r="1283" s="122" customFormat="1" x14ac:dyDescent="0.25"/>
    <row r="1284" s="122" customForma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Q"/>
  <dimension ref="A1:H51"/>
  <sheetViews>
    <sheetView topLeftCell="A53" workbookViewId="0">
      <selection activeCell="C61" sqref="C61"/>
    </sheetView>
  </sheetViews>
  <sheetFormatPr defaultRowHeight="15" x14ac:dyDescent="0.25"/>
  <cols>
    <col min="1" max="2" width="9.140625" style="122"/>
    <col min="3" max="3" width="12.28515625" style="122" bestFit="1" customWidth="1"/>
    <col min="4" max="4" width="9.140625" style="122"/>
    <col min="5" max="5" width="16" style="122" bestFit="1" customWidth="1"/>
    <col min="6" max="6" width="9.140625" style="122"/>
    <col min="7" max="7" width="19.28515625" style="122" bestFit="1" customWidth="1"/>
    <col min="8" max="16384" width="9.140625" style="122"/>
  </cols>
  <sheetData>
    <row r="1" spans="1:8" x14ac:dyDescent="0.25">
      <c r="A1" s="196"/>
      <c r="B1" s="196"/>
      <c r="C1" s="196"/>
      <c r="D1" s="196"/>
      <c r="E1" s="196"/>
      <c r="F1" s="196"/>
      <c r="G1" s="196"/>
      <c r="H1" s="201"/>
    </row>
    <row r="2" spans="1:8" x14ac:dyDescent="0.25">
      <c r="C2" s="197"/>
    </row>
    <row r="3" spans="1:8" x14ac:dyDescent="0.25">
      <c r="C3" s="2"/>
    </row>
    <row r="4" spans="1:8" x14ac:dyDescent="0.25">
      <c r="C4" s="2"/>
    </row>
    <row r="5" spans="1:8" x14ac:dyDescent="0.25">
      <c r="C5" s="2"/>
    </row>
    <row r="6" spans="1:8" x14ac:dyDescent="0.25">
      <c r="C6" s="2"/>
    </row>
    <row r="7" spans="1:8" x14ac:dyDescent="0.25">
      <c r="C7" s="2"/>
    </row>
    <row r="8" spans="1:8" x14ac:dyDescent="0.25">
      <c r="C8" s="2"/>
    </row>
    <row r="9" spans="1:8" x14ac:dyDescent="0.25">
      <c r="C9" s="2"/>
    </row>
    <row r="10" spans="1:8" x14ac:dyDescent="0.25">
      <c r="C10" s="2"/>
    </row>
    <row r="11" spans="1:8" x14ac:dyDescent="0.25">
      <c r="C11" s="2"/>
    </row>
    <row r="12" spans="1:8" x14ac:dyDescent="0.25">
      <c r="C12" s="2"/>
    </row>
    <row r="13" spans="1:8" x14ac:dyDescent="0.25">
      <c r="C13" s="2"/>
    </row>
    <row r="14" spans="1:8" x14ac:dyDescent="0.25">
      <c r="C14" s="197"/>
    </row>
    <row r="15" spans="1:8" x14ac:dyDescent="0.25">
      <c r="C15" s="2"/>
    </row>
    <row r="16" spans="1:8" x14ac:dyDescent="0.25">
      <c r="C16" s="2"/>
    </row>
    <row r="17" spans="3:3" x14ac:dyDescent="0.25">
      <c r="C17" s="2"/>
    </row>
    <row r="18" spans="3:3" x14ac:dyDescent="0.25">
      <c r="C18" s="2"/>
    </row>
    <row r="19" spans="3:3" x14ac:dyDescent="0.25">
      <c r="C19" s="2"/>
    </row>
    <row r="20" spans="3:3" x14ac:dyDescent="0.25">
      <c r="C20" s="2"/>
    </row>
    <row r="21" spans="3:3" x14ac:dyDescent="0.25">
      <c r="C21" s="2"/>
    </row>
    <row r="22" spans="3:3" x14ac:dyDescent="0.25">
      <c r="C22" s="2"/>
    </row>
    <row r="23" spans="3:3" x14ac:dyDescent="0.25">
      <c r="C23" s="2"/>
    </row>
    <row r="24" spans="3:3" x14ac:dyDescent="0.25">
      <c r="C24" s="2"/>
    </row>
    <row r="25" spans="3:3" x14ac:dyDescent="0.25">
      <c r="C25" s="2"/>
    </row>
    <row r="26" spans="3:3" x14ac:dyDescent="0.25">
      <c r="C26" s="2"/>
    </row>
    <row r="27" spans="3:3" x14ac:dyDescent="0.25">
      <c r="C27" s="2"/>
    </row>
    <row r="28" spans="3:3" x14ac:dyDescent="0.25">
      <c r="C28" s="2"/>
    </row>
    <row r="29" spans="3:3" x14ac:dyDescent="0.25">
      <c r="C29" s="2"/>
    </row>
    <row r="30" spans="3:3" x14ac:dyDescent="0.25">
      <c r="C30" s="2"/>
    </row>
    <row r="31" spans="3:3" x14ac:dyDescent="0.25">
      <c r="C31" s="197"/>
    </row>
    <row r="32" spans="3:3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197"/>
    </row>
    <row r="39" spans="3:3" x14ac:dyDescent="0.25">
      <c r="C39" s="2"/>
    </row>
    <row r="40" spans="3:3" x14ac:dyDescent="0.25">
      <c r="C40" s="2"/>
    </row>
    <row r="41" spans="3:3" x14ac:dyDescent="0.25">
      <c r="C41" s="2"/>
    </row>
    <row r="42" spans="3:3" x14ac:dyDescent="0.25">
      <c r="C42" s="2"/>
    </row>
    <row r="43" spans="3:3" x14ac:dyDescent="0.25">
      <c r="C43" s="2"/>
    </row>
    <row r="44" spans="3:3" x14ac:dyDescent="0.25">
      <c r="C44" s="2"/>
    </row>
    <row r="45" spans="3:3" x14ac:dyDescent="0.25">
      <c r="C45" s="2"/>
    </row>
    <row r="46" spans="3:3" x14ac:dyDescent="0.25">
      <c r="C46" s="2"/>
    </row>
    <row r="47" spans="3:3" x14ac:dyDescent="0.25">
      <c r="C47" s="2"/>
    </row>
    <row r="48" spans="3:3" x14ac:dyDescent="0.25">
      <c r="C48" s="2"/>
    </row>
    <row r="49" spans="3:3" x14ac:dyDescent="0.25">
      <c r="C49" s="2"/>
    </row>
    <row r="50" spans="3:3" x14ac:dyDescent="0.25">
      <c r="C50" s="2"/>
    </row>
    <row r="51" spans="3:3" x14ac:dyDescent="0.25">
      <c r="C51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erence"/>
  <dimension ref="A1:AS139"/>
  <sheetViews>
    <sheetView topLeftCell="A6" zoomScaleNormal="100" workbookViewId="0">
      <selection activeCell="D20" sqref="D20"/>
    </sheetView>
  </sheetViews>
  <sheetFormatPr defaultRowHeight="15" x14ac:dyDescent="0.25"/>
  <cols>
    <col min="1" max="1" width="15.5703125" style="5" customWidth="1"/>
    <col min="2" max="2" width="10.7109375" style="5" customWidth="1"/>
    <col min="3" max="3" width="6.42578125" style="5" customWidth="1"/>
    <col min="4" max="5" width="16.7109375" style="5" customWidth="1"/>
    <col min="6" max="6" width="5.5703125" style="5" customWidth="1"/>
    <col min="7" max="8" width="16.7109375" style="5" customWidth="1"/>
    <col min="9" max="9" width="9.140625" style="5" customWidth="1"/>
    <col min="10" max="16" width="11.85546875" style="5" customWidth="1"/>
    <col min="17" max="17" width="1.5703125" style="5" customWidth="1"/>
    <col min="18" max="24" width="11.85546875" style="5" customWidth="1"/>
    <col min="25" max="25" width="1.5703125" style="5" customWidth="1"/>
    <col min="26" max="32" width="11.85546875" style="5" customWidth="1"/>
    <col min="33" max="33" width="1.5703125" style="5" customWidth="1"/>
    <col min="34" max="40" width="11.85546875" style="5" customWidth="1"/>
    <col min="41" max="41" width="1.5703125" style="5" customWidth="1"/>
    <col min="42" max="45" width="11.85546875" style="5" customWidth="1"/>
    <col min="46" max="16384" width="9.140625" style="5"/>
  </cols>
  <sheetData>
    <row r="1" spans="1:45" ht="15.75" thickBot="1" x14ac:dyDescent="0.3">
      <c r="J1" s="35" t="s">
        <v>82</v>
      </c>
      <c r="K1" s="36"/>
      <c r="L1" s="36"/>
      <c r="M1" s="36"/>
      <c r="N1" s="36"/>
      <c r="O1" s="36"/>
      <c r="P1" s="37"/>
      <c r="Q1" s="32"/>
      <c r="R1" s="44" t="s">
        <v>83</v>
      </c>
      <c r="S1" s="45"/>
      <c r="T1" s="45"/>
      <c r="U1" s="45"/>
      <c r="V1" s="45"/>
      <c r="W1" s="45"/>
      <c r="X1" s="46"/>
      <c r="Y1" s="31"/>
      <c r="Z1" s="35" t="s">
        <v>84</v>
      </c>
      <c r="AA1" s="36"/>
      <c r="AB1" s="36"/>
      <c r="AC1" s="36"/>
      <c r="AD1" s="36"/>
      <c r="AE1" s="36"/>
      <c r="AF1" s="37"/>
      <c r="AG1" s="31"/>
      <c r="AH1" s="44" t="s">
        <v>85</v>
      </c>
      <c r="AI1" s="45"/>
      <c r="AJ1" s="45"/>
      <c r="AK1" s="45"/>
      <c r="AL1" s="45"/>
      <c r="AM1" s="45"/>
      <c r="AN1" s="46"/>
      <c r="AO1" s="31"/>
      <c r="AP1" s="113" t="s">
        <v>96</v>
      </c>
      <c r="AQ1" s="114"/>
      <c r="AR1" s="114"/>
      <c r="AS1" s="115"/>
    </row>
    <row r="2" spans="1:45" ht="15.75" thickBot="1" x14ac:dyDescent="0.3">
      <c r="A2" s="211" t="s">
        <v>105</v>
      </c>
      <c r="B2" s="212"/>
      <c r="C2" s="11"/>
      <c r="D2" s="211" t="s">
        <v>113</v>
      </c>
      <c r="E2" s="212"/>
      <c r="F2" s="11"/>
      <c r="G2" s="211"/>
      <c r="H2" s="212"/>
      <c r="J2" s="40" t="s">
        <v>16</v>
      </c>
      <c r="K2" s="42" t="s">
        <v>17</v>
      </c>
      <c r="L2" s="42" t="s">
        <v>18</v>
      </c>
      <c r="M2" s="42" t="s">
        <v>19</v>
      </c>
      <c r="N2" s="42" t="s">
        <v>20</v>
      </c>
      <c r="O2" s="42" t="s">
        <v>21</v>
      </c>
      <c r="P2" s="38" t="s">
        <v>22</v>
      </c>
      <c r="Q2" s="33"/>
      <c r="R2" s="49" t="s">
        <v>16</v>
      </c>
      <c r="S2" s="51" t="s">
        <v>17</v>
      </c>
      <c r="T2" s="51" t="s">
        <v>18</v>
      </c>
      <c r="U2" s="51" t="s">
        <v>19</v>
      </c>
      <c r="V2" s="51" t="s">
        <v>20</v>
      </c>
      <c r="W2" s="51" t="s">
        <v>21</v>
      </c>
      <c r="X2" s="47" t="s">
        <v>22</v>
      </c>
      <c r="Y2" s="32"/>
      <c r="Z2" s="40" t="s">
        <v>16</v>
      </c>
      <c r="AA2" s="42" t="s">
        <v>17</v>
      </c>
      <c r="AB2" s="42" t="s">
        <v>18</v>
      </c>
      <c r="AC2" s="42" t="s">
        <v>19</v>
      </c>
      <c r="AD2" s="42" t="s">
        <v>20</v>
      </c>
      <c r="AE2" s="42" t="s">
        <v>21</v>
      </c>
      <c r="AF2" s="38" t="s">
        <v>22</v>
      </c>
      <c r="AG2" s="32"/>
      <c r="AH2" s="49" t="s">
        <v>16</v>
      </c>
      <c r="AI2" s="51" t="s">
        <v>17</v>
      </c>
      <c r="AJ2" s="51" t="s">
        <v>18</v>
      </c>
      <c r="AK2" s="51" t="s">
        <v>19</v>
      </c>
      <c r="AL2" s="51" t="s">
        <v>20</v>
      </c>
      <c r="AM2" s="51" t="s">
        <v>21</v>
      </c>
      <c r="AN2" s="47" t="s">
        <v>22</v>
      </c>
      <c r="AO2" s="32"/>
      <c r="AP2" s="116" t="s">
        <v>97</v>
      </c>
      <c r="AQ2" s="117"/>
      <c r="AR2" s="117"/>
      <c r="AS2" s="118"/>
    </row>
    <row r="3" spans="1:45" ht="15.75" thickBot="1" x14ac:dyDescent="0.3">
      <c r="A3" s="6" t="s">
        <v>58</v>
      </c>
      <c r="B3" s="7">
        <f>COUNTA(UserInput!F5:F24)</f>
        <v>0</v>
      </c>
      <c r="C3" s="9"/>
      <c r="D3" s="6" t="s">
        <v>56</v>
      </c>
      <c r="E3" s="24">
        <f>UserInput!F4</f>
        <v>0</v>
      </c>
      <c r="F3" s="9"/>
      <c r="G3" s="6"/>
      <c r="H3" s="7"/>
      <c r="J3" s="41" t="e">
        <f>$E$6</f>
        <v>#N/A</v>
      </c>
      <c r="K3" s="43" t="e">
        <f>$E$6+1</f>
        <v>#N/A</v>
      </c>
      <c r="L3" s="43" t="e">
        <f>$E$6+2</f>
        <v>#N/A</v>
      </c>
      <c r="M3" s="43" t="e">
        <f>$E$6+3</f>
        <v>#N/A</v>
      </c>
      <c r="N3" s="43" t="e">
        <f>$E$6+4</f>
        <v>#N/A</v>
      </c>
      <c r="O3" s="43" t="e">
        <f>$E$6+5</f>
        <v>#N/A</v>
      </c>
      <c r="P3" s="39" t="e">
        <f>$E$6+6</f>
        <v>#N/A</v>
      </c>
      <c r="Q3" s="34"/>
      <c r="R3" s="50" t="e">
        <f>$E$6</f>
        <v>#N/A</v>
      </c>
      <c r="S3" s="52" t="e">
        <f>$E$6+1</f>
        <v>#N/A</v>
      </c>
      <c r="T3" s="52" t="e">
        <f>$E$6+2</f>
        <v>#N/A</v>
      </c>
      <c r="U3" s="52" t="e">
        <f>$E$6+3</f>
        <v>#N/A</v>
      </c>
      <c r="V3" s="52" t="e">
        <f>$E$6+4</f>
        <v>#N/A</v>
      </c>
      <c r="W3" s="52" t="e">
        <f>$E$6+5</f>
        <v>#N/A</v>
      </c>
      <c r="X3" s="48" t="e">
        <f>$E$6+6</f>
        <v>#N/A</v>
      </c>
      <c r="Y3" s="33"/>
      <c r="Z3" s="41" t="e">
        <f>$E$6</f>
        <v>#N/A</v>
      </c>
      <c r="AA3" s="43" t="e">
        <f>$E$6+1</f>
        <v>#N/A</v>
      </c>
      <c r="AB3" s="43" t="e">
        <f>$E$6+2</f>
        <v>#N/A</v>
      </c>
      <c r="AC3" s="43" t="e">
        <f>$E$6+3</f>
        <v>#N/A</v>
      </c>
      <c r="AD3" s="43" t="e">
        <f>$E$6+4</f>
        <v>#N/A</v>
      </c>
      <c r="AE3" s="43" t="e">
        <f>$E$6+5</f>
        <v>#N/A</v>
      </c>
      <c r="AF3" s="39" t="e">
        <f>$E$6+6</f>
        <v>#N/A</v>
      </c>
      <c r="AG3" s="33"/>
      <c r="AH3" s="50" t="e">
        <f>$E$6</f>
        <v>#N/A</v>
      </c>
      <c r="AI3" s="52" t="e">
        <f>$E$6+1</f>
        <v>#N/A</v>
      </c>
      <c r="AJ3" s="52" t="e">
        <f>$E$6+2</f>
        <v>#N/A</v>
      </c>
      <c r="AK3" s="52" t="e">
        <f>$E$6+3</f>
        <v>#N/A</v>
      </c>
      <c r="AL3" s="52" t="e">
        <f>$E$6+4</f>
        <v>#N/A</v>
      </c>
      <c r="AM3" s="52" t="e">
        <f>$E$6+5</f>
        <v>#N/A</v>
      </c>
      <c r="AN3" s="48" t="e">
        <f>$E$6+6</f>
        <v>#N/A</v>
      </c>
      <c r="AO3" s="33"/>
      <c r="AP3" s="119" t="s">
        <v>93</v>
      </c>
      <c r="AQ3" s="120" t="s">
        <v>95</v>
      </c>
      <c r="AR3" s="120" t="s">
        <v>94</v>
      </c>
      <c r="AS3" s="121" t="s">
        <v>92</v>
      </c>
    </row>
    <row r="4" spans="1:45" ht="15.75" thickBot="1" x14ac:dyDescent="0.3">
      <c r="A4" s="6" t="s">
        <v>23</v>
      </c>
      <c r="B4" s="7" t="str">
        <f>IF(UserInput!F5="","",UserInput!F5)</f>
        <v/>
      </c>
      <c r="C4" s="9"/>
      <c r="D4" s="6" t="s">
        <v>52</v>
      </c>
      <c r="E4" s="26" t="e">
        <f>VLOOKUP(E3,Table2[],4)</f>
        <v>#N/A</v>
      </c>
      <c r="F4" s="9"/>
      <c r="G4" s="6"/>
      <c r="H4" s="7"/>
      <c r="J4" s="93">
        <f t="shared" ref="J4:P4" si="0">SUM(J$5:J$100)</f>
        <v>0</v>
      </c>
      <c r="K4" s="94">
        <f t="shared" si="0"/>
        <v>0</v>
      </c>
      <c r="L4" s="94">
        <f t="shared" si="0"/>
        <v>0</v>
      </c>
      <c r="M4" s="94">
        <f t="shared" si="0"/>
        <v>0</v>
      </c>
      <c r="N4" s="94">
        <f t="shared" si="0"/>
        <v>0</v>
      </c>
      <c r="O4" s="94">
        <f t="shared" si="0"/>
        <v>0</v>
      </c>
      <c r="P4" s="95">
        <f t="shared" si="0"/>
        <v>0</v>
      </c>
      <c r="Q4" s="34"/>
      <c r="R4" s="99">
        <f>COUNTA(R$5:R$100)</f>
        <v>0</v>
      </c>
      <c r="S4" s="100">
        <f t="shared" ref="S4:X4" si="1">COUNTA(S$5:S$100)</f>
        <v>0</v>
      </c>
      <c r="T4" s="100">
        <f t="shared" si="1"/>
        <v>0</v>
      </c>
      <c r="U4" s="100">
        <f t="shared" si="1"/>
        <v>0</v>
      </c>
      <c r="V4" s="100">
        <f t="shared" si="1"/>
        <v>0</v>
      </c>
      <c r="W4" s="100">
        <f t="shared" si="1"/>
        <v>0</v>
      </c>
      <c r="X4" s="101">
        <f t="shared" si="1"/>
        <v>0</v>
      </c>
      <c r="Y4" s="34"/>
      <c r="Z4" s="96">
        <f>SUM(Z$5:Z$100)</f>
        <v>0</v>
      </c>
      <c r="AA4" s="97">
        <f t="shared" ref="AA4:AF4" si="2">SUM(AA$5:AA$100)</f>
        <v>0</v>
      </c>
      <c r="AB4" s="97">
        <f t="shared" si="2"/>
        <v>0</v>
      </c>
      <c r="AC4" s="97">
        <f t="shared" si="2"/>
        <v>0</v>
      </c>
      <c r="AD4" s="97">
        <f t="shared" si="2"/>
        <v>0</v>
      </c>
      <c r="AE4" s="97">
        <f t="shared" si="2"/>
        <v>0</v>
      </c>
      <c r="AF4" s="98">
        <f t="shared" si="2"/>
        <v>0</v>
      </c>
      <c r="AG4" s="34"/>
      <c r="AH4" s="99">
        <f t="shared" ref="AH4:AS4" si="3">COUNTA(AH$5:AH$100)</f>
        <v>0</v>
      </c>
      <c r="AI4" s="100">
        <f t="shared" si="3"/>
        <v>0</v>
      </c>
      <c r="AJ4" s="100">
        <f t="shared" si="3"/>
        <v>0</v>
      </c>
      <c r="AK4" s="100">
        <f t="shared" si="3"/>
        <v>0</v>
      </c>
      <c r="AL4" s="100">
        <f t="shared" si="3"/>
        <v>0</v>
      </c>
      <c r="AM4" s="100">
        <f t="shared" si="3"/>
        <v>0</v>
      </c>
      <c r="AN4" s="101">
        <f t="shared" si="3"/>
        <v>0</v>
      </c>
      <c r="AO4" s="34"/>
      <c r="AP4" s="99">
        <f t="shared" si="3"/>
        <v>0</v>
      </c>
      <c r="AQ4" s="100">
        <f t="shared" si="3"/>
        <v>0</v>
      </c>
      <c r="AR4" s="100">
        <f t="shared" si="3"/>
        <v>0</v>
      </c>
      <c r="AS4" s="112">
        <f t="shared" si="3"/>
        <v>0</v>
      </c>
    </row>
    <row r="5" spans="1:45" x14ac:dyDescent="0.25">
      <c r="A5" s="6" t="s">
        <v>24</v>
      </c>
      <c r="B5" s="7" t="str">
        <f>IF(UserInput!F6="","",UserInput!F6)</f>
        <v/>
      </c>
      <c r="C5" s="9"/>
      <c r="D5" s="6" t="s">
        <v>53</v>
      </c>
      <c r="E5" s="26" t="e">
        <f>VLOOKUP(E3,Table2[],5)</f>
        <v>#N/A</v>
      </c>
      <c r="F5" s="9"/>
      <c r="G5" s="6"/>
      <c r="H5" s="7"/>
      <c r="J5" s="102"/>
      <c r="K5" s="102"/>
      <c r="L5" s="102"/>
      <c r="M5" s="102"/>
      <c r="N5" s="102"/>
      <c r="O5" s="102"/>
      <c r="P5" s="102"/>
      <c r="Q5" s="103"/>
      <c r="R5" s="105"/>
      <c r="S5" s="105"/>
      <c r="T5" s="105"/>
      <c r="U5" s="105"/>
      <c r="V5" s="105"/>
      <c r="W5" s="105"/>
      <c r="X5" s="105"/>
      <c r="Y5" s="103"/>
      <c r="Z5" s="102"/>
      <c r="AA5" s="102"/>
      <c r="AB5" s="102"/>
      <c r="AC5" s="102"/>
      <c r="AD5" s="102"/>
      <c r="AE5" s="102"/>
      <c r="AF5" s="102"/>
      <c r="AG5" s="103"/>
      <c r="AH5" s="105"/>
      <c r="AI5" s="105"/>
      <c r="AJ5" s="105"/>
      <c r="AK5" s="105"/>
      <c r="AL5" s="105"/>
      <c r="AM5" s="105"/>
      <c r="AN5" s="105"/>
      <c r="AO5" s="103"/>
      <c r="AP5" s="105"/>
      <c r="AQ5" s="105"/>
      <c r="AR5" s="105"/>
      <c r="AS5" s="105"/>
    </row>
    <row r="6" spans="1:45" x14ac:dyDescent="0.25">
      <c r="A6" s="6" t="s">
        <v>25</v>
      </c>
      <c r="B6" s="7" t="str">
        <f>IF(UserInput!F7="","",UserInput!F7)</f>
        <v/>
      </c>
      <c r="C6" s="9"/>
      <c r="D6" s="6" t="s">
        <v>54</v>
      </c>
      <c r="E6" s="26" t="e">
        <f>VLOOKUP(E3,Table2[],6)</f>
        <v>#N/A</v>
      </c>
      <c r="F6" s="9"/>
      <c r="G6" s="6"/>
      <c r="H6" s="7"/>
      <c r="J6" s="102"/>
      <c r="K6" s="102"/>
      <c r="L6" s="102"/>
      <c r="M6" s="102"/>
      <c r="N6" s="102"/>
      <c r="O6" s="102"/>
      <c r="P6" s="102"/>
      <c r="Q6" s="103"/>
      <c r="R6" s="105"/>
      <c r="S6" s="105"/>
      <c r="T6" s="105"/>
      <c r="U6" s="105"/>
      <c r="V6" s="105"/>
      <c r="W6" s="105"/>
      <c r="X6" s="105"/>
      <c r="Y6" s="103"/>
      <c r="Z6" s="102"/>
      <c r="AA6" s="102"/>
      <c r="AB6" s="102"/>
      <c r="AC6" s="102"/>
      <c r="AD6" s="102"/>
      <c r="AE6" s="102"/>
      <c r="AF6" s="102"/>
      <c r="AG6" s="103"/>
      <c r="AH6" s="105"/>
      <c r="AI6" s="105"/>
      <c r="AJ6" s="105"/>
      <c r="AK6" s="105"/>
      <c r="AL6" s="105"/>
      <c r="AM6" s="105"/>
      <c r="AN6" s="105"/>
      <c r="AO6" s="103"/>
      <c r="AP6" s="105"/>
      <c r="AQ6" s="105"/>
      <c r="AR6" s="105"/>
      <c r="AS6" s="105"/>
    </row>
    <row r="7" spans="1:45" x14ac:dyDescent="0.25">
      <c r="A7" s="6" t="s">
        <v>26</v>
      </c>
      <c r="B7" s="7" t="str">
        <f>IF(UserInput!F8="","",UserInput!F8)</f>
        <v/>
      </c>
      <c r="C7" s="9"/>
      <c r="D7" s="6" t="s">
        <v>55</v>
      </c>
      <c r="E7" s="26" t="e">
        <f>VLOOKUP(E3,Table2[],7)</f>
        <v>#N/A</v>
      </c>
      <c r="F7" s="21"/>
      <c r="G7" s="6"/>
      <c r="H7" s="7"/>
      <c r="J7" s="102"/>
      <c r="K7" s="102"/>
      <c r="L7" s="102"/>
      <c r="M7" s="102"/>
      <c r="N7" s="102"/>
      <c r="O7" s="102"/>
      <c r="P7" s="102"/>
      <c r="Q7" s="103"/>
      <c r="R7" s="105"/>
      <c r="S7" s="105"/>
      <c r="T7" s="105"/>
      <c r="U7" s="105"/>
      <c r="V7" s="105"/>
      <c r="W7" s="105"/>
      <c r="X7" s="105"/>
      <c r="Y7" s="103"/>
      <c r="Z7" s="102"/>
      <c r="AA7" s="102"/>
      <c r="AB7" s="102"/>
      <c r="AC7" s="102"/>
      <c r="AD7" s="102"/>
      <c r="AE7" s="102"/>
      <c r="AF7" s="102"/>
      <c r="AG7" s="103"/>
      <c r="AH7" s="105"/>
      <c r="AI7" s="105"/>
      <c r="AJ7" s="105"/>
      <c r="AK7" s="105"/>
      <c r="AL7" s="105"/>
      <c r="AM7" s="105"/>
      <c r="AN7" s="105"/>
      <c r="AO7" s="103"/>
      <c r="AP7" s="105"/>
      <c r="AQ7" s="105"/>
      <c r="AR7" s="105"/>
      <c r="AS7" s="105"/>
    </row>
    <row r="8" spans="1:45" x14ac:dyDescent="0.25">
      <c r="A8" s="6" t="s">
        <v>27</v>
      </c>
      <c r="B8" s="7" t="str">
        <f>IF(UserInput!F9="","",UserInput!F9)</f>
        <v/>
      </c>
      <c r="C8" s="9"/>
      <c r="D8" s="6" t="s">
        <v>106</v>
      </c>
      <c r="E8" s="26" t="e">
        <f>E6</f>
        <v>#N/A</v>
      </c>
      <c r="F8" s="9"/>
      <c r="G8" s="6"/>
      <c r="H8" s="7"/>
      <c r="J8" s="102"/>
      <c r="K8" s="102"/>
      <c r="L8" s="102"/>
      <c r="M8" s="102"/>
      <c r="N8" s="102"/>
      <c r="O8" s="102"/>
      <c r="P8" s="102"/>
      <c r="Q8" s="103"/>
      <c r="R8" s="105"/>
      <c r="S8" s="105"/>
      <c r="T8" s="105"/>
      <c r="U8" s="105"/>
      <c r="V8" s="105"/>
      <c r="W8" s="105"/>
      <c r="X8" s="105"/>
      <c r="Y8" s="103"/>
      <c r="Z8" s="102"/>
      <c r="AA8" s="102"/>
      <c r="AB8" s="102"/>
      <c r="AC8" s="102"/>
      <c r="AD8" s="102"/>
      <c r="AE8" s="102"/>
      <c r="AF8" s="102"/>
      <c r="AG8" s="103"/>
      <c r="AH8" s="105"/>
      <c r="AI8" s="105"/>
      <c r="AJ8" s="105"/>
      <c r="AK8" s="105"/>
      <c r="AL8" s="105"/>
      <c r="AM8" s="105"/>
      <c r="AN8" s="105"/>
      <c r="AO8" s="103"/>
      <c r="AP8" s="105"/>
      <c r="AQ8" s="105"/>
      <c r="AR8" s="105"/>
      <c r="AS8" s="105"/>
    </row>
    <row r="9" spans="1:45" x14ac:dyDescent="0.25">
      <c r="A9" s="6" t="s">
        <v>28</v>
      </c>
      <c r="B9" s="7" t="str">
        <f>IF(UserInput!F10="","",UserInput!F10)</f>
        <v/>
      </c>
      <c r="C9" s="9"/>
      <c r="D9" s="6" t="s">
        <v>107</v>
      </c>
      <c r="E9" s="26" t="e">
        <f t="shared" ref="E9:E14" si="4">E8+1</f>
        <v>#N/A</v>
      </c>
      <c r="F9" s="9"/>
      <c r="G9" s="6"/>
      <c r="H9" s="7"/>
      <c r="J9" s="102"/>
      <c r="K9" s="102"/>
      <c r="L9" s="102"/>
      <c r="M9" s="102"/>
      <c r="N9" s="102"/>
      <c r="O9" s="102"/>
      <c r="P9" s="102"/>
      <c r="Q9" s="103"/>
      <c r="R9" s="105"/>
      <c r="S9" s="105"/>
      <c r="T9" s="105"/>
      <c r="U9" s="105"/>
      <c r="V9" s="105"/>
      <c r="W9" s="105"/>
      <c r="X9" s="105"/>
      <c r="Y9" s="103"/>
      <c r="Z9" s="102"/>
      <c r="AA9" s="102"/>
      <c r="AB9" s="102"/>
      <c r="AC9" s="102"/>
      <c r="AD9" s="102"/>
      <c r="AE9" s="102"/>
      <c r="AF9" s="102"/>
      <c r="AG9" s="103"/>
      <c r="AH9" s="105"/>
      <c r="AI9" s="105"/>
      <c r="AJ9" s="105"/>
      <c r="AK9" s="105"/>
      <c r="AL9" s="105"/>
      <c r="AM9" s="105"/>
      <c r="AN9" s="105"/>
      <c r="AO9" s="103"/>
      <c r="AP9" s="105"/>
      <c r="AQ9" s="105"/>
      <c r="AR9" s="105"/>
      <c r="AS9" s="105"/>
    </row>
    <row r="10" spans="1:45" x14ac:dyDescent="0.25">
      <c r="A10" s="6" t="s">
        <v>29</v>
      </c>
      <c r="B10" s="7" t="str">
        <f>IF(UserInput!F11="","",UserInput!F11)</f>
        <v/>
      </c>
      <c r="C10" s="9"/>
      <c r="D10" s="6" t="s">
        <v>108</v>
      </c>
      <c r="E10" s="26" t="e">
        <f t="shared" si="4"/>
        <v>#N/A</v>
      </c>
      <c r="F10" s="9"/>
      <c r="G10" s="6"/>
      <c r="H10" s="7"/>
      <c r="J10" s="102"/>
      <c r="K10" s="102"/>
      <c r="L10" s="102"/>
      <c r="M10" s="102"/>
      <c r="N10" s="102"/>
      <c r="O10" s="102"/>
      <c r="P10" s="102"/>
      <c r="Q10" s="103"/>
      <c r="R10" s="105"/>
      <c r="S10" s="105"/>
      <c r="T10" s="105"/>
      <c r="U10" s="105"/>
      <c r="V10" s="105"/>
      <c r="W10" s="105"/>
      <c r="X10" s="105"/>
      <c r="Y10" s="103"/>
      <c r="Z10" s="102"/>
      <c r="AA10" s="102"/>
      <c r="AB10" s="102"/>
      <c r="AC10" s="102"/>
      <c r="AD10" s="102"/>
      <c r="AE10" s="102"/>
      <c r="AF10" s="102"/>
      <c r="AG10" s="103"/>
      <c r="AH10" s="105"/>
      <c r="AI10" s="105"/>
      <c r="AJ10" s="105"/>
      <c r="AK10" s="105"/>
      <c r="AL10" s="105"/>
      <c r="AM10" s="105"/>
      <c r="AN10" s="105"/>
      <c r="AO10" s="103"/>
      <c r="AP10" s="105"/>
      <c r="AQ10" s="105"/>
      <c r="AR10" s="105"/>
      <c r="AS10" s="105"/>
    </row>
    <row r="11" spans="1:45" x14ac:dyDescent="0.25">
      <c r="A11" s="6" t="s">
        <v>30</v>
      </c>
      <c r="B11" s="7" t="str">
        <f>IF(UserInput!F12="","",UserInput!F12)</f>
        <v/>
      </c>
      <c r="C11" s="9"/>
      <c r="D11" s="6" t="s">
        <v>109</v>
      </c>
      <c r="E11" s="26" t="e">
        <f t="shared" si="4"/>
        <v>#N/A</v>
      </c>
      <c r="F11" s="9"/>
      <c r="G11" s="6"/>
      <c r="H11" s="7"/>
      <c r="J11" s="102"/>
      <c r="K11" s="102"/>
      <c r="L11" s="102"/>
      <c r="M11" s="102"/>
      <c r="N11" s="102"/>
      <c r="O11" s="102"/>
      <c r="P11" s="102"/>
      <c r="Q11" s="103"/>
      <c r="R11" s="105"/>
      <c r="S11" s="105"/>
      <c r="T11" s="105"/>
      <c r="U11" s="105"/>
      <c r="V11" s="105"/>
      <c r="W11" s="105"/>
      <c r="X11" s="105"/>
      <c r="Y11" s="103"/>
      <c r="Z11" s="102"/>
      <c r="AA11" s="102"/>
      <c r="AB11" s="102"/>
      <c r="AC11" s="102"/>
      <c r="AD11" s="102"/>
      <c r="AE11" s="102"/>
      <c r="AF11" s="102"/>
      <c r="AG11" s="103"/>
      <c r="AH11" s="105"/>
      <c r="AI11" s="105"/>
      <c r="AJ11" s="105"/>
      <c r="AK11" s="105"/>
      <c r="AL11" s="105"/>
      <c r="AM11" s="105"/>
      <c r="AN11" s="105"/>
      <c r="AO11" s="103"/>
      <c r="AP11" s="105"/>
      <c r="AQ11" s="105"/>
      <c r="AR11" s="105"/>
      <c r="AS11" s="105"/>
    </row>
    <row r="12" spans="1:45" x14ac:dyDescent="0.25">
      <c r="A12" s="6" t="s">
        <v>31</v>
      </c>
      <c r="B12" s="7" t="str">
        <f>IF(UserInput!F13="","",UserInput!F13)</f>
        <v/>
      </c>
      <c r="C12" s="9"/>
      <c r="D12" s="6" t="s">
        <v>110</v>
      </c>
      <c r="E12" s="26" t="e">
        <f t="shared" si="4"/>
        <v>#N/A</v>
      </c>
      <c r="F12" s="9"/>
      <c r="G12" s="6"/>
      <c r="H12" s="7"/>
      <c r="J12" s="102"/>
      <c r="K12" s="102"/>
      <c r="L12" s="102"/>
      <c r="M12" s="102"/>
      <c r="N12" s="102"/>
      <c r="O12" s="102"/>
      <c r="P12" s="102"/>
      <c r="Q12" s="103"/>
      <c r="R12" s="105"/>
      <c r="S12" s="105"/>
      <c r="T12" s="105"/>
      <c r="U12" s="105"/>
      <c r="V12" s="105"/>
      <c r="W12" s="105"/>
      <c r="X12" s="105"/>
      <c r="Y12" s="103"/>
      <c r="Z12" s="102"/>
      <c r="AA12" s="102"/>
      <c r="AB12" s="102"/>
      <c r="AC12" s="102"/>
      <c r="AD12" s="102"/>
      <c r="AE12" s="102"/>
      <c r="AF12" s="102"/>
      <c r="AG12" s="103"/>
      <c r="AH12" s="105"/>
      <c r="AI12" s="105"/>
      <c r="AJ12" s="105"/>
      <c r="AK12" s="105"/>
      <c r="AL12" s="105"/>
      <c r="AM12" s="105"/>
      <c r="AN12" s="105"/>
      <c r="AO12" s="103"/>
      <c r="AP12" s="105"/>
      <c r="AQ12" s="105"/>
      <c r="AR12" s="105"/>
      <c r="AS12" s="105"/>
    </row>
    <row r="13" spans="1:45" x14ac:dyDescent="0.25">
      <c r="A13" s="6" t="s">
        <v>32</v>
      </c>
      <c r="B13" s="7" t="str">
        <f>IF(UserInput!F14="","",UserInput!F14)</f>
        <v/>
      </c>
      <c r="C13" s="9"/>
      <c r="D13" s="124" t="s">
        <v>111</v>
      </c>
      <c r="E13" s="26" t="e">
        <f t="shared" si="4"/>
        <v>#N/A</v>
      </c>
      <c r="F13" s="9"/>
      <c r="G13" s="6"/>
      <c r="H13" s="7"/>
      <c r="J13" s="102"/>
      <c r="K13" s="102"/>
      <c r="L13" s="102"/>
      <c r="M13" s="102"/>
      <c r="N13" s="102"/>
      <c r="O13" s="102"/>
      <c r="P13" s="102"/>
      <c r="Q13" s="103"/>
      <c r="R13" s="105"/>
      <c r="S13" s="105"/>
      <c r="T13" s="105"/>
      <c r="U13" s="105"/>
      <c r="V13" s="105"/>
      <c r="W13" s="105"/>
      <c r="X13" s="105"/>
      <c r="Y13" s="103"/>
      <c r="Z13" s="102"/>
      <c r="AA13" s="102"/>
      <c r="AB13" s="102"/>
      <c r="AC13" s="102"/>
      <c r="AD13" s="102"/>
      <c r="AE13" s="102"/>
      <c r="AF13" s="102"/>
      <c r="AG13" s="103"/>
      <c r="AH13" s="105"/>
      <c r="AI13" s="105"/>
      <c r="AJ13" s="105"/>
      <c r="AK13" s="105"/>
      <c r="AL13" s="105"/>
      <c r="AM13" s="105"/>
      <c r="AN13" s="105"/>
      <c r="AO13" s="103"/>
      <c r="AP13" s="105"/>
      <c r="AQ13" s="105"/>
      <c r="AR13" s="105"/>
      <c r="AS13" s="105"/>
    </row>
    <row r="14" spans="1:45" x14ac:dyDescent="0.25">
      <c r="A14" s="6" t="s">
        <v>33</v>
      </c>
      <c r="B14" s="7" t="str">
        <f>IF(UserInput!F15="","",UserInput!F15)</f>
        <v/>
      </c>
      <c r="C14" s="9"/>
      <c r="D14" s="124" t="s">
        <v>112</v>
      </c>
      <c r="E14" s="26" t="e">
        <f t="shared" si="4"/>
        <v>#N/A</v>
      </c>
      <c r="F14" s="9"/>
      <c r="G14" s="6"/>
      <c r="H14" s="7"/>
      <c r="J14" s="102"/>
      <c r="K14" s="102"/>
      <c r="L14" s="102"/>
      <c r="M14" s="102"/>
      <c r="N14" s="102"/>
      <c r="O14" s="102"/>
      <c r="P14" s="102"/>
      <c r="Q14" s="103"/>
      <c r="R14" s="105"/>
      <c r="S14" s="105"/>
      <c r="T14" s="105"/>
      <c r="U14" s="105"/>
      <c r="V14" s="105"/>
      <c r="W14" s="105"/>
      <c r="X14" s="105"/>
      <c r="Y14" s="103"/>
      <c r="Z14" s="102"/>
      <c r="AA14" s="102"/>
      <c r="AB14" s="102"/>
      <c r="AC14" s="102"/>
      <c r="AD14" s="102"/>
      <c r="AE14" s="102"/>
      <c r="AF14" s="102"/>
      <c r="AG14" s="103"/>
      <c r="AH14" s="105"/>
      <c r="AI14" s="105"/>
      <c r="AJ14" s="105"/>
      <c r="AK14" s="105"/>
      <c r="AL14" s="105"/>
      <c r="AM14" s="105"/>
      <c r="AN14" s="105"/>
      <c r="AO14" s="103"/>
      <c r="AP14" s="105"/>
      <c r="AQ14" s="105"/>
      <c r="AR14" s="105"/>
      <c r="AS14" s="105"/>
    </row>
    <row r="15" spans="1:45" x14ac:dyDescent="0.25">
      <c r="A15" s="6" t="s">
        <v>34</v>
      </c>
      <c r="B15" s="7" t="str">
        <f>IF(UserInput!F16="","",UserInput!F16)</f>
        <v/>
      </c>
      <c r="C15" s="9"/>
      <c r="D15" s="9"/>
      <c r="E15" s="22"/>
      <c r="F15" s="9"/>
      <c r="G15" s="6"/>
      <c r="H15" s="7"/>
      <c r="J15" s="102"/>
      <c r="K15" s="102"/>
      <c r="L15" s="102"/>
      <c r="M15" s="102"/>
      <c r="N15" s="102"/>
      <c r="O15" s="102"/>
      <c r="P15" s="102"/>
      <c r="Q15" s="103"/>
      <c r="R15" s="105"/>
      <c r="S15" s="105"/>
      <c r="T15" s="105"/>
      <c r="U15" s="105"/>
      <c r="V15" s="105"/>
      <c r="W15" s="105"/>
      <c r="X15" s="105"/>
      <c r="Y15" s="103"/>
      <c r="Z15" s="102"/>
      <c r="AA15" s="102"/>
      <c r="AB15" s="102"/>
      <c r="AC15" s="102"/>
      <c r="AD15" s="102"/>
      <c r="AE15" s="102"/>
      <c r="AF15" s="102"/>
      <c r="AG15" s="103"/>
      <c r="AH15" s="105"/>
      <c r="AI15" s="105"/>
      <c r="AJ15" s="105"/>
      <c r="AK15" s="105"/>
      <c r="AL15" s="105"/>
      <c r="AM15" s="105"/>
      <c r="AN15" s="105"/>
      <c r="AO15" s="103"/>
      <c r="AP15" s="105"/>
      <c r="AQ15" s="105"/>
      <c r="AR15" s="105"/>
      <c r="AS15" s="105"/>
    </row>
    <row r="16" spans="1:45" x14ac:dyDescent="0.25">
      <c r="A16" s="6" t="s">
        <v>35</v>
      </c>
      <c r="B16" s="7" t="str">
        <f>IF(UserInput!F17="","",UserInput!F17)</f>
        <v/>
      </c>
      <c r="C16" s="9"/>
      <c r="D16" s="9"/>
      <c r="E16" s="9"/>
      <c r="F16" s="9"/>
      <c r="G16" s="6"/>
      <c r="H16" s="7"/>
      <c r="J16" s="102"/>
      <c r="K16" s="102"/>
      <c r="L16" s="102"/>
      <c r="M16" s="102"/>
      <c r="N16" s="102"/>
      <c r="O16" s="102"/>
      <c r="P16" s="102"/>
      <c r="Q16" s="103"/>
      <c r="R16" s="105"/>
      <c r="S16" s="105"/>
      <c r="T16" s="105"/>
      <c r="U16" s="105"/>
      <c r="V16" s="105"/>
      <c r="W16" s="105"/>
      <c r="X16" s="105"/>
      <c r="Y16" s="103"/>
      <c r="Z16" s="102"/>
      <c r="AA16" s="102"/>
      <c r="AB16" s="102"/>
      <c r="AC16" s="102"/>
      <c r="AD16" s="102"/>
      <c r="AE16" s="102"/>
      <c r="AF16" s="102"/>
      <c r="AG16" s="103"/>
      <c r="AH16" s="105"/>
      <c r="AI16" s="105"/>
      <c r="AJ16" s="105"/>
      <c r="AK16" s="105"/>
      <c r="AL16" s="105"/>
      <c r="AM16" s="105"/>
      <c r="AN16" s="105"/>
      <c r="AO16" s="103"/>
      <c r="AP16" s="105"/>
      <c r="AQ16" s="105"/>
      <c r="AR16" s="105"/>
      <c r="AS16" s="105"/>
    </row>
    <row r="17" spans="1:45" x14ac:dyDescent="0.25">
      <c r="A17" s="6" t="s">
        <v>36</v>
      </c>
      <c r="B17" s="7" t="str">
        <f>IF(UserInput!F18="","",UserInput!F18)</f>
        <v/>
      </c>
      <c r="C17" s="9"/>
      <c r="D17" s="9"/>
      <c r="E17" s="9"/>
      <c r="F17" s="9"/>
      <c r="G17" s="6"/>
      <c r="H17" s="7"/>
      <c r="J17" s="102"/>
      <c r="K17" s="102"/>
      <c r="L17" s="102"/>
      <c r="M17" s="102"/>
      <c r="N17" s="102"/>
      <c r="O17" s="102"/>
      <c r="P17" s="102"/>
      <c r="Q17" s="103"/>
      <c r="R17" s="105"/>
      <c r="S17" s="105"/>
      <c r="T17" s="105"/>
      <c r="U17" s="105"/>
      <c r="V17" s="105"/>
      <c r="W17" s="105"/>
      <c r="X17" s="105"/>
      <c r="Y17" s="103"/>
      <c r="Z17" s="102"/>
      <c r="AA17" s="102"/>
      <c r="AB17" s="102"/>
      <c r="AC17" s="102"/>
      <c r="AD17" s="102"/>
      <c r="AE17" s="102"/>
      <c r="AF17" s="102"/>
      <c r="AG17" s="103"/>
      <c r="AH17" s="105"/>
      <c r="AI17" s="105"/>
      <c r="AJ17" s="105"/>
      <c r="AK17" s="105"/>
      <c r="AL17" s="105"/>
      <c r="AM17" s="105"/>
      <c r="AN17" s="105"/>
      <c r="AO17" s="103"/>
      <c r="AP17" s="105"/>
      <c r="AQ17" s="105"/>
      <c r="AR17" s="105"/>
      <c r="AS17" s="105"/>
    </row>
    <row r="18" spans="1:45" x14ac:dyDescent="0.25">
      <c r="A18" s="6" t="s">
        <v>37</v>
      </c>
      <c r="B18" s="7" t="str">
        <f>IF(UserInput!F19="","",UserInput!F19)</f>
        <v/>
      </c>
      <c r="C18" s="9"/>
      <c r="D18" s="9"/>
      <c r="E18" s="9"/>
      <c r="F18" s="9"/>
      <c r="G18" s="6"/>
      <c r="H18" s="7"/>
      <c r="J18" s="102"/>
      <c r="K18" s="102"/>
      <c r="L18" s="102"/>
      <c r="M18" s="102"/>
      <c r="N18" s="102"/>
      <c r="O18" s="102"/>
      <c r="P18" s="102"/>
      <c r="Q18" s="103"/>
      <c r="R18" s="105"/>
      <c r="S18" s="105"/>
      <c r="T18" s="105"/>
      <c r="U18" s="105"/>
      <c r="V18" s="105"/>
      <c r="W18" s="105"/>
      <c r="X18" s="105"/>
      <c r="Y18" s="103"/>
      <c r="Z18" s="102"/>
      <c r="AA18" s="102"/>
      <c r="AB18" s="102"/>
      <c r="AC18" s="102"/>
      <c r="AD18" s="102"/>
      <c r="AE18" s="102"/>
      <c r="AF18" s="102"/>
      <c r="AG18" s="103"/>
      <c r="AH18" s="105"/>
      <c r="AI18" s="105"/>
      <c r="AJ18" s="105"/>
      <c r="AK18" s="105"/>
      <c r="AL18" s="105"/>
      <c r="AM18" s="105"/>
      <c r="AN18" s="105"/>
      <c r="AO18" s="103"/>
      <c r="AP18" s="105"/>
      <c r="AQ18" s="105"/>
      <c r="AR18" s="105"/>
      <c r="AS18" s="105"/>
    </row>
    <row r="19" spans="1:45" x14ac:dyDescent="0.25">
      <c r="A19" s="6" t="s">
        <v>38</v>
      </c>
      <c r="B19" s="7" t="str">
        <f>IF(UserInput!F20="","",UserInput!F20)</f>
        <v/>
      </c>
      <c r="C19" s="9"/>
      <c r="D19" s="9"/>
      <c r="E19" s="9"/>
      <c r="F19" s="9"/>
      <c r="G19" s="6"/>
      <c r="H19" s="7"/>
      <c r="J19" s="102"/>
      <c r="K19" s="102"/>
      <c r="L19" s="102"/>
      <c r="M19" s="102"/>
      <c r="N19" s="102"/>
      <c r="O19" s="102"/>
      <c r="P19" s="102"/>
      <c r="Q19" s="103"/>
      <c r="R19" s="105"/>
      <c r="S19" s="105"/>
      <c r="T19" s="105"/>
      <c r="U19" s="105"/>
      <c r="V19" s="105"/>
      <c r="W19" s="105"/>
      <c r="X19" s="105"/>
      <c r="Y19" s="103"/>
      <c r="Z19" s="102"/>
      <c r="AA19" s="102"/>
      <c r="AB19" s="102"/>
      <c r="AC19" s="102"/>
      <c r="AD19" s="102"/>
      <c r="AE19" s="102"/>
      <c r="AF19" s="102"/>
      <c r="AG19" s="103"/>
      <c r="AH19" s="105"/>
      <c r="AI19" s="105"/>
      <c r="AJ19" s="105"/>
      <c r="AK19" s="105"/>
      <c r="AL19" s="105"/>
      <c r="AM19" s="105"/>
      <c r="AN19" s="105"/>
      <c r="AO19" s="103"/>
      <c r="AP19" s="105"/>
      <c r="AQ19" s="105"/>
      <c r="AR19" s="105"/>
      <c r="AS19" s="105"/>
    </row>
    <row r="20" spans="1:45" x14ac:dyDescent="0.25">
      <c r="A20" s="6" t="s">
        <v>39</v>
      </c>
      <c r="B20" s="7" t="str">
        <f>IF(UserInput!F21="","",UserInput!F21)</f>
        <v/>
      </c>
      <c r="C20" s="9"/>
      <c r="D20" s="9"/>
      <c r="E20" s="9"/>
      <c r="F20" s="9"/>
      <c r="G20" s="6"/>
      <c r="H20" s="7"/>
      <c r="J20" s="102"/>
      <c r="K20" s="102"/>
      <c r="L20" s="102"/>
      <c r="M20" s="102"/>
      <c r="N20" s="102"/>
      <c r="O20" s="102"/>
      <c r="P20" s="102"/>
      <c r="Q20" s="103"/>
      <c r="R20" s="105"/>
      <c r="S20" s="105"/>
      <c r="T20" s="105"/>
      <c r="U20" s="105"/>
      <c r="V20" s="105"/>
      <c r="W20" s="105"/>
      <c r="X20" s="105"/>
      <c r="Y20" s="103"/>
      <c r="Z20" s="102"/>
      <c r="AA20" s="102"/>
      <c r="AB20" s="102"/>
      <c r="AC20" s="102"/>
      <c r="AD20" s="102"/>
      <c r="AE20" s="102"/>
      <c r="AF20" s="102"/>
      <c r="AG20" s="103"/>
      <c r="AH20" s="105"/>
      <c r="AI20" s="105"/>
      <c r="AJ20" s="105"/>
      <c r="AK20" s="105"/>
      <c r="AL20" s="105"/>
      <c r="AM20" s="105"/>
      <c r="AN20" s="105"/>
      <c r="AO20" s="103"/>
      <c r="AP20" s="105"/>
      <c r="AQ20" s="105"/>
      <c r="AR20" s="105"/>
      <c r="AS20" s="105"/>
    </row>
    <row r="21" spans="1:45" x14ac:dyDescent="0.25">
      <c r="A21" s="6" t="s">
        <v>40</v>
      </c>
      <c r="B21" s="7" t="str">
        <f>IF(UserInput!F22="","",UserInput!F22)</f>
        <v/>
      </c>
      <c r="C21" s="9"/>
      <c r="D21" s="9"/>
      <c r="E21" s="9"/>
      <c r="F21" s="9"/>
      <c r="G21" s="6"/>
      <c r="H21" s="7"/>
      <c r="J21" s="102"/>
      <c r="K21" s="102"/>
      <c r="L21" s="102"/>
      <c r="M21" s="102"/>
      <c r="N21" s="102"/>
      <c r="O21" s="102"/>
      <c r="P21" s="102"/>
      <c r="Q21" s="103"/>
      <c r="R21" s="105"/>
      <c r="S21" s="105"/>
      <c r="T21" s="105"/>
      <c r="U21" s="105"/>
      <c r="V21" s="105"/>
      <c r="W21" s="105"/>
      <c r="X21" s="105"/>
      <c r="Y21" s="103"/>
      <c r="Z21" s="102"/>
      <c r="AA21" s="102"/>
      <c r="AB21" s="102"/>
      <c r="AC21" s="102"/>
      <c r="AD21" s="102"/>
      <c r="AE21" s="102"/>
      <c r="AF21" s="102"/>
      <c r="AG21" s="103"/>
      <c r="AH21" s="105"/>
      <c r="AI21" s="105"/>
      <c r="AJ21" s="105"/>
      <c r="AK21" s="105"/>
      <c r="AL21" s="105"/>
      <c r="AM21" s="105"/>
      <c r="AN21" s="105"/>
      <c r="AO21" s="103"/>
      <c r="AP21" s="105"/>
      <c r="AQ21" s="105"/>
      <c r="AR21" s="105"/>
      <c r="AS21" s="105"/>
    </row>
    <row r="22" spans="1:45" x14ac:dyDescent="0.25">
      <c r="A22" s="6" t="s">
        <v>41</v>
      </c>
      <c r="B22" s="7" t="str">
        <f>IF(UserInput!F23="","",UserInput!F23)</f>
        <v/>
      </c>
      <c r="C22" s="9"/>
      <c r="D22" s="9"/>
      <c r="E22" s="9"/>
      <c r="F22" s="9"/>
      <c r="G22" s="6"/>
      <c r="H22" s="7"/>
      <c r="J22" s="102"/>
      <c r="K22" s="102"/>
      <c r="L22" s="102"/>
      <c r="M22" s="102"/>
      <c r="N22" s="102"/>
      <c r="O22" s="102"/>
      <c r="P22" s="102"/>
      <c r="Q22" s="103"/>
      <c r="R22" s="105"/>
      <c r="S22" s="105"/>
      <c r="T22" s="105"/>
      <c r="U22" s="105"/>
      <c r="V22" s="105"/>
      <c r="W22" s="105"/>
      <c r="X22" s="105"/>
      <c r="Y22" s="103"/>
      <c r="Z22" s="102"/>
      <c r="AA22" s="102"/>
      <c r="AB22" s="102"/>
      <c r="AC22" s="102"/>
      <c r="AD22" s="102"/>
      <c r="AE22" s="102"/>
      <c r="AF22" s="102"/>
      <c r="AG22" s="103"/>
      <c r="AH22" s="105"/>
      <c r="AI22" s="105"/>
      <c r="AJ22" s="105"/>
      <c r="AK22" s="105"/>
      <c r="AL22" s="105"/>
      <c r="AM22" s="105"/>
      <c r="AN22" s="105"/>
      <c r="AO22" s="103"/>
      <c r="AP22" s="105"/>
      <c r="AQ22" s="105"/>
      <c r="AR22" s="105"/>
      <c r="AS22" s="105"/>
    </row>
    <row r="23" spans="1:45" x14ac:dyDescent="0.25">
      <c r="A23" s="6" t="s">
        <v>42</v>
      </c>
      <c r="B23" s="7" t="str">
        <f>IF(UserInput!F24="","",UserInput!F24)</f>
        <v/>
      </c>
      <c r="C23" s="9"/>
      <c r="D23" s="9"/>
      <c r="E23" s="9"/>
      <c r="F23" s="9"/>
      <c r="G23" s="6"/>
      <c r="H23" s="7"/>
      <c r="J23" s="102"/>
      <c r="K23" s="102"/>
      <c r="L23" s="102"/>
      <c r="M23" s="102"/>
      <c r="N23" s="102"/>
      <c r="O23" s="102"/>
      <c r="P23" s="102"/>
      <c r="Q23" s="103"/>
      <c r="R23" s="105"/>
      <c r="S23" s="105"/>
      <c r="T23" s="105"/>
      <c r="U23" s="105"/>
      <c r="V23" s="105"/>
      <c r="W23" s="105"/>
      <c r="X23" s="105"/>
      <c r="Y23" s="103"/>
      <c r="Z23" s="102"/>
      <c r="AA23" s="102"/>
      <c r="AB23" s="102"/>
      <c r="AC23" s="102"/>
      <c r="AD23" s="102"/>
      <c r="AE23" s="102"/>
      <c r="AF23" s="102"/>
      <c r="AG23" s="103"/>
      <c r="AH23" s="105"/>
      <c r="AI23" s="105"/>
      <c r="AJ23" s="105"/>
      <c r="AK23" s="105"/>
      <c r="AL23" s="105"/>
      <c r="AM23" s="105"/>
      <c r="AN23" s="105"/>
      <c r="AO23" s="103"/>
      <c r="AP23" s="105"/>
      <c r="AQ23" s="105"/>
      <c r="AR23" s="105"/>
      <c r="AS23" s="105"/>
    </row>
    <row r="24" spans="1:45" x14ac:dyDescent="0.25">
      <c r="A24" s="6" t="s">
        <v>42</v>
      </c>
      <c r="B24" s="7" t="str">
        <f>IF(UserInput!F25="","",UserInput!F25)</f>
        <v/>
      </c>
      <c r="C24" s="9"/>
      <c r="D24" s="9"/>
      <c r="E24" s="9"/>
      <c r="F24" s="9"/>
      <c r="G24" s="6"/>
      <c r="H24" s="7"/>
      <c r="J24" s="102"/>
      <c r="K24" s="102"/>
      <c r="L24" s="102"/>
      <c r="M24" s="102"/>
      <c r="N24" s="102"/>
      <c r="O24" s="102"/>
      <c r="P24" s="102"/>
      <c r="Q24" s="103"/>
      <c r="R24" s="105"/>
      <c r="S24" s="105"/>
      <c r="T24" s="105"/>
      <c r="U24" s="105"/>
      <c r="V24" s="105"/>
      <c r="W24" s="105"/>
      <c r="X24" s="105"/>
      <c r="Y24" s="103"/>
      <c r="Z24" s="102"/>
      <c r="AA24" s="102"/>
      <c r="AB24" s="102"/>
      <c r="AC24" s="102"/>
      <c r="AD24" s="102"/>
      <c r="AE24" s="102"/>
      <c r="AF24" s="102"/>
      <c r="AG24" s="103"/>
      <c r="AH24" s="105"/>
      <c r="AI24" s="105"/>
      <c r="AJ24" s="105"/>
      <c r="AK24" s="105"/>
      <c r="AL24" s="105"/>
      <c r="AM24" s="105"/>
      <c r="AN24" s="105"/>
      <c r="AO24" s="103"/>
      <c r="AP24" s="105"/>
      <c r="AQ24" s="105"/>
      <c r="AR24" s="105"/>
      <c r="AS24" s="105"/>
    </row>
    <row r="25" spans="1:45" x14ac:dyDescent="0.25">
      <c r="A25" s="6"/>
      <c r="B25" s="7" t="str">
        <f>IF(UserInput!F26="","",UserInput!F26)</f>
        <v/>
      </c>
      <c r="C25" s="9"/>
      <c r="D25" s="9"/>
      <c r="E25" s="9"/>
      <c r="F25" s="9"/>
      <c r="G25" s="6"/>
      <c r="H25" s="7"/>
      <c r="J25" s="102"/>
      <c r="K25" s="102"/>
      <c r="L25" s="102"/>
      <c r="M25" s="102"/>
      <c r="N25" s="102"/>
      <c r="O25" s="102"/>
      <c r="P25" s="102"/>
      <c r="Q25" s="103"/>
      <c r="R25" s="105"/>
      <c r="S25" s="105"/>
      <c r="T25" s="105"/>
      <c r="U25" s="105"/>
      <c r="V25" s="105"/>
      <c r="W25" s="105"/>
      <c r="X25" s="105"/>
      <c r="Y25" s="103"/>
      <c r="Z25" s="102"/>
      <c r="AA25" s="102"/>
      <c r="AB25" s="102"/>
      <c r="AC25" s="102"/>
      <c r="AD25" s="102"/>
      <c r="AE25" s="102"/>
      <c r="AF25" s="102"/>
      <c r="AG25" s="103"/>
      <c r="AH25" s="105"/>
      <c r="AI25" s="105"/>
      <c r="AJ25" s="105"/>
      <c r="AK25" s="105"/>
      <c r="AL25" s="105"/>
      <c r="AM25" s="105"/>
      <c r="AN25" s="105"/>
      <c r="AO25" s="103"/>
      <c r="AP25" s="105"/>
      <c r="AQ25" s="105"/>
      <c r="AR25" s="105"/>
      <c r="AS25" s="105"/>
    </row>
    <row r="26" spans="1:45" x14ac:dyDescent="0.25">
      <c r="A26" s="6"/>
      <c r="B26" s="7"/>
      <c r="C26" s="9"/>
      <c r="D26" s="9"/>
      <c r="E26" s="9"/>
      <c r="F26" s="9"/>
      <c r="G26" s="6"/>
      <c r="H26" s="7"/>
      <c r="J26" s="102"/>
      <c r="K26" s="102"/>
      <c r="L26" s="102"/>
      <c r="M26" s="102"/>
      <c r="N26" s="102"/>
      <c r="O26" s="102"/>
      <c r="P26" s="102"/>
      <c r="Q26" s="103"/>
      <c r="R26" s="105"/>
      <c r="S26" s="105"/>
      <c r="T26" s="105"/>
      <c r="U26" s="105"/>
      <c r="V26" s="105"/>
      <c r="W26" s="105"/>
      <c r="X26" s="105"/>
      <c r="Y26" s="103"/>
      <c r="Z26" s="102"/>
      <c r="AA26" s="102"/>
      <c r="AB26" s="102"/>
      <c r="AC26" s="102"/>
      <c r="AD26" s="102"/>
      <c r="AE26" s="102"/>
      <c r="AF26" s="102"/>
      <c r="AG26" s="103"/>
      <c r="AH26" s="105"/>
      <c r="AI26" s="105"/>
      <c r="AJ26" s="105"/>
      <c r="AK26" s="105"/>
      <c r="AL26" s="105"/>
      <c r="AM26" s="105"/>
      <c r="AN26" s="105"/>
      <c r="AO26" s="103"/>
      <c r="AP26" s="105"/>
      <c r="AQ26" s="105"/>
      <c r="AR26" s="105"/>
      <c r="AS26" s="105"/>
    </row>
    <row r="27" spans="1:45" x14ac:dyDescent="0.25">
      <c r="A27" s="6"/>
      <c r="B27" s="7"/>
      <c r="C27" s="9"/>
      <c r="D27" s="9"/>
      <c r="E27" s="9"/>
      <c r="F27" s="9"/>
      <c r="G27" s="6"/>
      <c r="H27" s="7"/>
      <c r="J27" s="102"/>
      <c r="K27" s="102"/>
      <c r="L27" s="102"/>
      <c r="M27" s="102"/>
      <c r="N27" s="102"/>
      <c r="O27" s="102"/>
      <c r="P27" s="102"/>
      <c r="Q27" s="103"/>
      <c r="R27" s="105"/>
      <c r="S27" s="105"/>
      <c r="T27" s="105"/>
      <c r="U27" s="105"/>
      <c r="V27" s="105"/>
      <c r="W27" s="105"/>
      <c r="X27" s="105"/>
      <c r="Y27" s="103"/>
      <c r="Z27" s="102"/>
      <c r="AA27" s="102"/>
      <c r="AB27" s="102"/>
      <c r="AC27" s="102"/>
      <c r="AD27" s="102"/>
      <c r="AE27" s="102"/>
      <c r="AF27" s="102"/>
      <c r="AG27" s="103"/>
      <c r="AH27" s="105"/>
      <c r="AI27" s="105"/>
      <c r="AJ27" s="105"/>
      <c r="AK27" s="105"/>
      <c r="AL27" s="105"/>
      <c r="AM27" s="105"/>
      <c r="AN27" s="105"/>
      <c r="AO27" s="103"/>
      <c r="AP27" s="105"/>
      <c r="AQ27" s="105"/>
      <c r="AR27" s="105"/>
      <c r="AS27" s="105"/>
    </row>
    <row r="28" spans="1:45" x14ac:dyDescent="0.25">
      <c r="A28" s="8"/>
      <c r="J28" s="102"/>
      <c r="K28" s="102"/>
      <c r="L28" s="102"/>
      <c r="M28" s="102"/>
      <c r="N28" s="102"/>
      <c r="O28" s="102"/>
      <c r="P28" s="102"/>
      <c r="Q28" s="103"/>
      <c r="R28" s="105"/>
      <c r="S28" s="105"/>
      <c r="T28" s="105"/>
      <c r="U28" s="105"/>
      <c r="V28" s="105"/>
      <c r="W28" s="105"/>
      <c r="X28" s="105"/>
      <c r="Y28" s="103"/>
      <c r="Z28" s="102"/>
      <c r="AA28" s="102"/>
      <c r="AB28" s="102"/>
      <c r="AC28" s="102"/>
      <c r="AD28" s="102"/>
      <c r="AE28" s="102"/>
      <c r="AF28" s="102"/>
      <c r="AG28" s="103"/>
      <c r="AH28" s="105"/>
      <c r="AI28" s="105"/>
      <c r="AJ28" s="105"/>
      <c r="AK28" s="105"/>
      <c r="AL28" s="105"/>
      <c r="AM28" s="105"/>
      <c r="AN28" s="105"/>
      <c r="AO28" s="103"/>
      <c r="AP28" s="105"/>
      <c r="AQ28" s="105"/>
      <c r="AR28" s="105"/>
      <c r="AS28" s="105"/>
    </row>
    <row r="29" spans="1:45" x14ac:dyDescent="0.25">
      <c r="A29" s="213" t="s">
        <v>43</v>
      </c>
      <c r="B29" s="214"/>
      <c r="C29" s="214"/>
      <c r="D29" s="214"/>
      <c r="E29" s="214"/>
      <c r="F29" s="214"/>
      <c r="G29" s="214"/>
      <c r="H29" s="215"/>
      <c r="J29" s="102"/>
      <c r="K29" s="102"/>
      <c r="L29" s="102"/>
      <c r="M29" s="102"/>
      <c r="N29" s="102"/>
      <c r="O29" s="102"/>
      <c r="P29" s="102"/>
      <c r="Q29" s="103"/>
      <c r="R29" s="105"/>
      <c r="S29" s="105"/>
      <c r="T29" s="105"/>
      <c r="U29" s="105"/>
      <c r="V29" s="105"/>
      <c r="W29" s="105"/>
      <c r="X29" s="105"/>
      <c r="Y29" s="103"/>
      <c r="Z29" s="102"/>
      <c r="AA29" s="102"/>
      <c r="AB29" s="102"/>
      <c r="AC29" s="102"/>
      <c r="AD29" s="102"/>
      <c r="AE29" s="102"/>
      <c r="AF29" s="102"/>
      <c r="AG29" s="103"/>
      <c r="AH29" s="105"/>
      <c r="AI29" s="105"/>
      <c r="AJ29" s="105"/>
      <c r="AK29" s="105"/>
      <c r="AL29" s="105"/>
      <c r="AM29" s="105"/>
      <c r="AN29" s="105"/>
      <c r="AO29" s="103"/>
      <c r="AP29" s="105"/>
      <c r="AQ29" s="105"/>
      <c r="AR29" s="105"/>
      <c r="AS29" s="105"/>
    </row>
    <row r="30" spans="1:45" x14ac:dyDescent="0.25">
      <c r="A30" s="16" t="s">
        <v>15</v>
      </c>
      <c r="B30" s="17" t="s">
        <v>16</v>
      </c>
      <c r="C30" s="17" t="s">
        <v>17</v>
      </c>
      <c r="D30" s="17" t="s">
        <v>18</v>
      </c>
      <c r="E30" s="17" t="s">
        <v>19</v>
      </c>
      <c r="F30" s="17" t="s">
        <v>20</v>
      </c>
      <c r="G30" s="17" t="s">
        <v>21</v>
      </c>
      <c r="H30" s="18" t="s">
        <v>22</v>
      </c>
      <c r="J30" s="102"/>
      <c r="K30" s="102"/>
      <c r="L30" s="102"/>
      <c r="M30" s="102"/>
      <c r="N30" s="102"/>
      <c r="O30" s="102"/>
      <c r="P30" s="102"/>
      <c r="Q30" s="103"/>
      <c r="R30" s="105"/>
      <c r="S30" s="105"/>
      <c r="T30" s="105"/>
      <c r="U30" s="105"/>
      <c r="V30" s="105"/>
      <c r="W30" s="105"/>
      <c r="X30" s="105"/>
      <c r="Y30" s="103"/>
      <c r="Z30" s="102"/>
      <c r="AA30" s="102"/>
      <c r="AB30" s="102"/>
      <c r="AC30" s="102"/>
      <c r="AD30" s="102"/>
      <c r="AE30" s="102"/>
      <c r="AF30" s="102"/>
      <c r="AG30" s="103"/>
      <c r="AH30" s="105"/>
      <c r="AI30" s="105"/>
      <c r="AJ30" s="105"/>
      <c r="AK30" s="105"/>
      <c r="AL30" s="105"/>
      <c r="AM30" s="105"/>
      <c r="AN30" s="105"/>
      <c r="AO30" s="103"/>
      <c r="AP30" s="105"/>
      <c r="AQ30" s="105"/>
      <c r="AR30" s="105"/>
      <c r="AS30" s="105"/>
    </row>
    <row r="31" spans="1:45" x14ac:dyDescent="0.25">
      <c r="A31" s="19">
        <v>1</v>
      </c>
      <c r="B31" s="12">
        <v>42002</v>
      </c>
      <c r="C31" s="12">
        <v>42003</v>
      </c>
      <c r="D31" s="12">
        <v>42004</v>
      </c>
      <c r="E31" s="12">
        <v>42005</v>
      </c>
      <c r="F31" s="12">
        <v>42006</v>
      </c>
      <c r="G31" s="12">
        <v>42007</v>
      </c>
      <c r="H31" s="13">
        <v>42008</v>
      </c>
      <c r="I31" s="5" t="s">
        <v>51</v>
      </c>
      <c r="J31" s="102"/>
      <c r="K31" s="102"/>
      <c r="L31" s="102"/>
      <c r="M31" s="102"/>
      <c r="N31" s="102"/>
      <c r="O31" s="102"/>
      <c r="P31" s="102"/>
      <c r="Q31" s="103"/>
      <c r="R31" s="105"/>
      <c r="S31" s="105"/>
      <c r="T31" s="105"/>
      <c r="U31" s="105"/>
      <c r="V31" s="105"/>
      <c r="W31" s="105"/>
      <c r="X31" s="105"/>
      <c r="Y31" s="103"/>
      <c r="Z31" s="102"/>
      <c r="AA31" s="102"/>
      <c r="AB31" s="102"/>
      <c r="AC31" s="102"/>
      <c r="AD31" s="102"/>
      <c r="AE31" s="102"/>
      <c r="AF31" s="102"/>
      <c r="AG31" s="103"/>
      <c r="AH31" s="105"/>
      <c r="AI31" s="105"/>
      <c r="AJ31" s="105"/>
      <c r="AK31" s="105"/>
      <c r="AL31" s="105"/>
      <c r="AM31" s="105"/>
      <c r="AN31" s="105"/>
      <c r="AO31" s="103"/>
      <c r="AP31" s="105"/>
      <c r="AQ31" s="105"/>
      <c r="AR31" s="105"/>
      <c r="AS31" s="105"/>
    </row>
    <row r="32" spans="1:45" x14ac:dyDescent="0.25">
      <c r="A32" s="19">
        <v>2</v>
      </c>
      <c r="B32" s="12">
        <v>42009</v>
      </c>
      <c r="C32" s="12">
        <v>42010</v>
      </c>
      <c r="D32" s="12">
        <v>42011</v>
      </c>
      <c r="E32" s="12">
        <v>42012</v>
      </c>
      <c r="F32" s="12">
        <v>42013</v>
      </c>
      <c r="G32" s="12">
        <v>42014</v>
      </c>
      <c r="H32" s="13">
        <v>42015</v>
      </c>
      <c r="J32" s="102"/>
      <c r="K32" s="102"/>
      <c r="L32" s="102"/>
      <c r="M32" s="102"/>
      <c r="N32" s="102"/>
      <c r="O32" s="102"/>
      <c r="P32" s="102"/>
      <c r="Q32" s="103"/>
      <c r="R32" s="105"/>
      <c r="S32" s="105"/>
      <c r="T32" s="105"/>
      <c r="U32" s="105"/>
      <c r="V32" s="105"/>
      <c r="W32" s="105"/>
      <c r="X32" s="105"/>
      <c r="Y32" s="103"/>
      <c r="Z32" s="102"/>
      <c r="AA32" s="102"/>
      <c r="AB32" s="102"/>
      <c r="AC32" s="102"/>
      <c r="AD32" s="102"/>
      <c r="AE32" s="102"/>
      <c r="AF32" s="102"/>
      <c r="AG32" s="103"/>
      <c r="AH32" s="105"/>
      <c r="AI32" s="105"/>
      <c r="AJ32" s="105"/>
      <c r="AK32" s="105"/>
      <c r="AL32" s="105"/>
      <c r="AM32" s="105"/>
      <c r="AN32" s="105"/>
      <c r="AO32" s="103"/>
      <c r="AP32" s="105"/>
      <c r="AQ32" s="105"/>
      <c r="AR32" s="105"/>
      <c r="AS32" s="105"/>
    </row>
    <row r="33" spans="1:45" x14ac:dyDescent="0.25">
      <c r="A33" s="19">
        <v>3</v>
      </c>
      <c r="B33" s="12">
        <v>42016</v>
      </c>
      <c r="C33" s="12">
        <v>42017</v>
      </c>
      <c r="D33" s="12">
        <v>42018</v>
      </c>
      <c r="E33" s="12">
        <v>42019</v>
      </c>
      <c r="F33" s="12">
        <v>42020</v>
      </c>
      <c r="G33" s="12">
        <v>42021</v>
      </c>
      <c r="H33" s="13">
        <v>42022</v>
      </c>
      <c r="J33" s="102"/>
      <c r="K33" s="102"/>
      <c r="L33" s="102"/>
      <c r="M33" s="102"/>
      <c r="N33" s="102"/>
      <c r="O33" s="102"/>
      <c r="P33" s="102"/>
      <c r="Q33" s="103"/>
      <c r="R33" s="105"/>
      <c r="S33" s="105"/>
      <c r="T33" s="105"/>
      <c r="U33" s="105"/>
      <c r="V33" s="105"/>
      <c r="W33" s="105"/>
      <c r="X33" s="105"/>
      <c r="Y33" s="103"/>
      <c r="Z33" s="102"/>
      <c r="AA33" s="102"/>
      <c r="AB33" s="102"/>
      <c r="AC33" s="102"/>
      <c r="AD33" s="102"/>
      <c r="AE33" s="102"/>
      <c r="AF33" s="102"/>
      <c r="AG33" s="103"/>
      <c r="AH33" s="105"/>
      <c r="AI33" s="105"/>
      <c r="AJ33" s="105"/>
      <c r="AK33" s="105"/>
      <c r="AL33" s="105"/>
      <c r="AM33" s="105"/>
      <c r="AN33" s="105"/>
      <c r="AO33" s="103"/>
      <c r="AP33" s="105"/>
      <c r="AQ33" s="105"/>
      <c r="AR33" s="105"/>
      <c r="AS33" s="105"/>
    </row>
    <row r="34" spans="1:45" x14ac:dyDescent="0.25">
      <c r="A34" s="19">
        <v>4</v>
      </c>
      <c r="B34" s="12">
        <v>42023</v>
      </c>
      <c r="C34" s="12">
        <v>42024</v>
      </c>
      <c r="D34" s="12">
        <v>42025</v>
      </c>
      <c r="E34" s="12">
        <v>42026</v>
      </c>
      <c r="F34" s="12">
        <v>42027</v>
      </c>
      <c r="G34" s="12">
        <v>42028</v>
      </c>
      <c r="H34" s="13">
        <v>42029</v>
      </c>
      <c r="J34" s="102"/>
      <c r="K34" s="102"/>
      <c r="L34" s="102"/>
      <c r="M34" s="102"/>
      <c r="N34" s="102"/>
      <c r="O34" s="102"/>
      <c r="P34" s="102"/>
      <c r="Q34" s="103"/>
      <c r="R34" s="105"/>
      <c r="S34" s="105"/>
      <c r="T34" s="105"/>
      <c r="U34" s="105"/>
      <c r="V34" s="105"/>
      <c r="W34" s="105"/>
      <c r="X34" s="105"/>
      <c r="Y34" s="103"/>
      <c r="Z34" s="102"/>
      <c r="AA34" s="102"/>
      <c r="AB34" s="102"/>
      <c r="AC34" s="102"/>
      <c r="AD34" s="102"/>
      <c r="AE34" s="102"/>
      <c r="AF34" s="102"/>
      <c r="AG34" s="103"/>
      <c r="AH34" s="105"/>
      <c r="AI34" s="105"/>
      <c r="AJ34" s="105"/>
      <c r="AK34" s="105"/>
      <c r="AL34" s="105"/>
      <c r="AM34" s="105"/>
      <c r="AN34" s="105"/>
      <c r="AO34" s="103"/>
      <c r="AP34" s="105"/>
      <c r="AQ34" s="105"/>
      <c r="AR34" s="105"/>
      <c r="AS34" s="105"/>
    </row>
    <row r="35" spans="1:45" x14ac:dyDescent="0.25">
      <c r="A35" s="19">
        <v>5</v>
      </c>
      <c r="B35" s="12">
        <v>42030</v>
      </c>
      <c r="C35" s="12">
        <v>42031</v>
      </c>
      <c r="D35" s="12">
        <v>42032</v>
      </c>
      <c r="E35" s="12">
        <v>42033</v>
      </c>
      <c r="F35" s="12">
        <v>42034</v>
      </c>
      <c r="G35" s="12">
        <v>42035</v>
      </c>
      <c r="H35" s="13">
        <v>42036</v>
      </c>
      <c r="J35" s="102"/>
      <c r="K35" s="102"/>
      <c r="L35" s="102"/>
      <c r="M35" s="102"/>
      <c r="N35" s="102"/>
      <c r="O35" s="102"/>
      <c r="P35" s="102"/>
      <c r="Q35" s="103"/>
      <c r="R35" s="105"/>
      <c r="S35" s="105"/>
      <c r="T35" s="105"/>
      <c r="U35" s="105"/>
      <c r="V35" s="105"/>
      <c r="W35" s="105"/>
      <c r="X35" s="105"/>
      <c r="Y35" s="103"/>
      <c r="Z35" s="102"/>
      <c r="AA35" s="102"/>
      <c r="AB35" s="102"/>
      <c r="AC35" s="102"/>
      <c r="AD35" s="102"/>
      <c r="AE35" s="102"/>
      <c r="AF35" s="102"/>
      <c r="AG35" s="103"/>
      <c r="AH35" s="105"/>
      <c r="AI35" s="105"/>
      <c r="AJ35" s="105"/>
      <c r="AK35" s="105"/>
      <c r="AL35" s="105"/>
      <c r="AM35" s="105"/>
      <c r="AN35" s="105"/>
      <c r="AO35" s="103"/>
      <c r="AP35" s="105"/>
      <c r="AQ35" s="105"/>
      <c r="AR35" s="105"/>
      <c r="AS35" s="105"/>
    </row>
    <row r="36" spans="1:45" x14ac:dyDescent="0.25">
      <c r="A36" s="19">
        <v>6</v>
      </c>
      <c r="B36" s="12">
        <v>42037</v>
      </c>
      <c r="C36" s="12">
        <v>42038</v>
      </c>
      <c r="D36" s="12">
        <v>42039</v>
      </c>
      <c r="E36" s="12">
        <v>42040</v>
      </c>
      <c r="F36" s="12">
        <v>42041</v>
      </c>
      <c r="G36" s="12">
        <v>42042</v>
      </c>
      <c r="H36" s="13">
        <v>42043</v>
      </c>
      <c r="J36" s="102"/>
      <c r="K36" s="102"/>
      <c r="L36" s="102"/>
      <c r="M36" s="102"/>
      <c r="N36" s="102"/>
      <c r="O36" s="102"/>
      <c r="P36" s="102"/>
      <c r="Q36" s="103"/>
      <c r="R36" s="105"/>
      <c r="S36" s="105"/>
      <c r="T36" s="105"/>
      <c r="U36" s="105"/>
      <c r="V36" s="105"/>
      <c r="W36" s="105"/>
      <c r="X36" s="105"/>
      <c r="Y36" s="103"/>
      <c r="Z36" s="102"/>
      <c r="AA36" s="102"/>
      <c r="AB36" s="102"/>
      <c r="AC36" s="102"/>
      <c r="AD36" s="102"/>
      <c r="AE36" s="102"/>
      <c r="AF36" s="102"/>
      <c r="AG36" s="103"/>
      <c r="AH36" s="105"/>
      <c r="AI36" s="105"/>
      <c r="AJ36" s="105"/>
      <c r="AK36" s="105"/>
      <c r="AL36" s="105"/>
      <c r="AM36" s="105"/>
      <c r="AN36" s="105"/>
      <c r="AO36" s="103"/>
      <c r="AP36" s="105"/>
      <c r="AQ36" s="105"/>
      <c r="AR36" s="105"/>
      <c r="AS36" s="105"/>
    </row>
    <row r="37" spans="1:45" x14ac:dyDescent="0.25">
      <c r="A37" s="19">
        <v>7</v>
      </c>
      <c r="B37" s="12">
        <v>42044</v>
      </c>
      <c r="C37" s="12">
        <v>42045</v>
      </c>
      <c r="D37" s="12">
        <v>42046</v>
      </c>
      <c r="E37" s="12">
        <v>42047</v>
      </c>
      <c r="F37" s="12">
        <v>42048</v>
      </c>
      <c r="G37" s="12">
        <v>42049</v>
      </c>
      <c r="H37" s="13">
        <v>42050</v>
      </c>
      <c r="J37" s="102"/>
      <c r="K37" s="102"/>
      <c r="L37" s="102"/>
      <c r="M37" s="102"/>
      <c r="N37" s="102"/>
      <c r="O37" s="102"/>
      <c r="P37" s="102"/>
      <c r="Q37" s="103"/>
      <c r="R37" s="105"/>
      <c r="S37" s="105"/>
      <c r="T37" s="105"/>
      <c r="U37" s="105"/>
      <c r="V37" s="105"/>
      <c r="W37" s="105"/>
      <c r="X37" s="105"/>
      <c r="Y37" s="103"/>
      <c r="Z37" s="102"/>
      <c r="AA37" s="102"/>
      <c r="AB37" s="102"/>
      <c r="AC37" s="102"/>
      <c r="AD37" s="102"/>
      <c r="AE37" s="102"/>
      <c r="AF37" s="102"/>
      <c r="AG37" s="103"/>
      <c r="AH37" s="105"/>
      <c r="AI37" s="105"/>
      <c r="AJ37" s="105"/>
      <c r="AK37" s="105"/>
      <c r="AL37" s="105"/>
      <c r="AM37" s="105"/>
      <c r="AN37" s="105"/>
      <c r="AO37" s="103"/>
      <c r="AP37" s="105"/>
      <c r="AQ37" s="105"/>
      <c r="AR37" s="105"/>
      <c r="AS37" s="105"/>
    </row>
    <row r="38" spans="1:45" x14ac:dyDescent="0.25">
      <c r="A38" s="19">
        <v>8</v>
      </c>
      <c r="B38" s="12">
        <v>42051</v>
      </c>
      <c r="C38" s="12">
        <v>42052</v>
      </c>
      <c r="D38" s="12">
        <v>42053</v>
      </c>
      <c r="E38" s="12">
        <v>42054</v>
      </c>
      <c r="F38" s="12">
        <v>42055</v>
      </c>
      <c r="G38" s="12">
        <v>42056</v>
      </c>
      <c r="H38" s="13">
        <v>42057</v>
      </c>
      <c r="J38" s="102"/>
      <c r="K38" s="102"/>
      <c r="L38" s="102"/>
      <c r="M38" s="102"/>
      <c r="N38" s="102"/>
      <c r="O38" s="102"/>
      <c r="P38" s="102"/>
      <c r="Q38" s="103"/>
      <c r="R38" s="105"/>
      <c r="S38" s="105"/>
      <c r="T38" s="105"/>
      <c r="U38" s="105"/>
      <c r="V38" s="105"/>
      <c r="W38" s="105"/>
      <c r="X38" s="105"/>
      <c r="Y38" s="103"/>
      <c r="Z38" s="102"/>
      <c r="AA38" s="102"/>
      <c r="AB38" s="102"/>
      <c r="AC38" s="102"/>
      <c r="AD38" s="102"/>
      <c r="AE38" s="102"/>
      <c r="AF38" s="102"/>
      <c r="AG38" s="103"/>
      <c r="AH38" s="105"/>
      <c r="AI38" s="105"/>
      <c r="AJ38" s="105"/>
      <c r="AK38" s="105"/>
      <c r="AL38" s="105"/>
      <c r="AM38" s="105"/>
      <c r="AN38" s="105"/>
      <c r="AO38" s="103"/>
      <c r="AP38" s="105"/>
      <c r="AQ38" s="105"/>
      <c r="AR38" s="105"/>
      <c r="AS38" s="105"/>
    </row>
    <row r="39" spans="1:45" x14ac:dyDescent="0.25">
      <c r="A39" s="19">
        <v>9</v>
      </c>
      <c r="B39" s="12">
        <v>42058</v>
      </c>
      <c r="C39" s="12">
        <v>42059</v>
      </c>
      <c r="D39" s="12">
        <v>42060</v>
      </c>
      <c r="E39" s="12">
        <v>42061</v>
      </c>
      <c r="F39" s="12">
        <v>42062</v>
      </c>
      <c r="G39" s="12">
        <v>42063</v>
      </c>
      <c r="H39" s="13">
        <v>42064</v>
      </c>
      <c r="J39" s="102"/>
      <c r="K39" s="102"/>
      <c r="L39" s="102"/>
      <c r="M39" s="102"/>
      <c r="N39" s="102"/>
      <c r="O39" s="102"/>
      <c r="P39" s="102"/>
      <c r="Q39" s="103"/>
      <c r="R39" s="105"/>
      <c r="S39" s="105"/>
      <c r="T39" s="105"/>
      <c r="U39" s="105"/>
      <c r="V39" s="105"/>
      <c r="W39" s="105"/>
      <c r="X39" s="105"/>
      <c r="Y39" s="103"/>
      <c r="Z39" s="102"/>
      <c r="AA39" s="102"/>
      <c r="AB39" s="102"/>
      <c r="AC39" s="102"/>
      <c r="AD39" s="102"/>
      <c r="AE39" s="102"/>
      <c r="AF39" s="102"/>
      <c r="AG39" s="103"/>
      <c r="AH39" s="105"/>
      <c r="AI39" s="105"/>
      <c r="AJ39" s="105"/>
      <c r="AK39" s="105"/>
      <c r="AL39" s="105"/>
      <c r="AM39" s="105"/>
      <c r="AN39" s="105"/>
      <c r="AO39" s="103"/>
      <c r="AP39" s="105"/>
      <c r="AQ39" s="105"/>
      <c r="AR39" s="105"/>
      <c r="AS39" s="105"/>
    </row>
    <row r="40" spans="1:45" x14ac:dyDescent="0.25">
      <c r="A40" s="19">
        <v>10</v>
      </c>
      <c r="B40" s="12">
        <v>42065</v>
      </c>
      <c r="C40" s="12">
        <v>42066</v>
      </c>
      <c r="D40" s="12">
        <v>42067</v>
      </c>
      <c r="E40" s="12">
        <v>42068</v>
      </c>
      <c r="F40" s="12">
        <v>42069</v>
      </c>
      <c r="G40" s="12">
        <v>42070</v>
      </c>
      <c r="H40" s="13">
        <v>42071</v>
      </c>
      <c r="J40" s="102"/>
      <c r="K40" s="102"/>
      <c r="L40" s="102"/>
      <c r="M40" s="102"/>
      <c r="N40" s="102"/>
      <c r="O40" s="102"/>
      <c r="P40" s="102"/>
      <c r="Q40" s="103"/>
      <c r="R40" s="105"/>
      <c r="S40" s="105"/>
      <c r="T40" s="105"/>
      <c r="U40" s="105"/>
      <c r="V40" s="105"/>
      <c r="W40" s="105"/>
      <c r="X40" s="105"/>
      <c r="Y40" s="103"/>
      <c r="Z40" s="102"/>
      <c r="AA40" s="102"/>
      <c r="AB40" s="102"/>
      <c r="AC40" s="102"/>
      <c r="AD40" s="102"/>
      <c r="AE40" s="102"/>
      <c r="AF40" s="102"/>
      <c r="AG40" s="103"/>
      <c r="AH40" s="105"/>
      <c r="AI40" s="105"/>
      <c r="AJ40" s="105"/>
      <c r="AK40" s="105"/>
      <c r="AL40" s="105"/>
      <c r="AM40" s="105"/>
      <c r="AN40" s="105"/>
      <c r="AO40" s="103"/>
      <c r="AP40" s="105"/>
      <c r="AQ40" s="105"/>
      <c r="AR40" s="105"/>
      <c r="AS40" s="105"/>
    </row>
    <row r="41" spans="1:45" x14ac:dyDescent="0.25">
      <c r="A41" s="19">
        <v>11</v>
      </c>
      <c r="B41" s="12">
        <v>42072</v>
      </c>
      <c r="C41" s="12">
        <v>42073</v>
      </c>
      <c r="D41" s="12">
        <v>42074</v>
      </c>
      <c r="E41" s="12">
        <v>42075</v>
      </c>
      <c r="F41" s="12">
        <v>42076</v>
      </c>
      <c r="G41" s="12">
        <v>42077</v>
      </c>
      <c r="H41" s="13">
        <v>42078</v>
      </c>
      <c r="J41" s="102"/>
      <c r="K41" s="102"/>
      <c r="L41" s="102"/>
      <c r="M41" s="102"/>
      <c r="N41" s="102"/>
      <c r="O41" s="102"/>
      <c r="P41" s="102"/>
      <c r="Q41" s="103"/>
      <c r="R41" s="105"/>
      <c r="S41" s="105"/>
      <c r="T41" s="105"/>
      <c r="U41" s="105"/>
      <c r="V41" s="105"/>
      <c r="W41" s="105"/>
      <c r="X41" s="105"/>
      <c r="Y41" s="103"/>
      <c r="Z41" s="102"/>
      <c r="AA41" s="102"/>
      <c r="AB41" s="102"/>
      <c r="AC41" s="102"/>
      <c r="AD41" s="102"/>
      <c r="AE41" s="102"/>
      <c r="AF41" s="102"/>
      <c r="AG41" s="103"/>
      <c r="AH41" s="105"/>
      <c r="AI41" s="105"/>
      <c r="AJ41" s="105"/>
      <c r="AK41" s="105"/>
      <c r="AL41" s="105"/>
      <c r="AM41" s="105"/>
      <c r="AN41" s="105"/>
      <c r="AO41" s="103"/>
      <c r="AP41" s="105"/>
      <c r="AQ41" s="105"/>
      <c r="AR41" s="105"/>
      <c r="AS41" s="105"/>
    </row>
    <row r="42" spans="1:45" x14ac:dyDescent="0.25">
      <c r="A42" s="19">
        <v>12</v>
      </c>
      <c r="B42" s="12">
        <v>42079</v>
      </c>
      <c r="C42" s="12">
        <v>42080</v>
      </c>
      <c r="D42" s="12">
        <v>42081</v>
      </c>
      <c r="E42" s="12">
        <v>42082</v>
      </c>
      <c r="F42" s="12">
        <v>42083</v>
      </c>
      <c r="G42" s="12">
        <v>42084</v>
      </c>
      <c r="H42" s="13">
        <v>42085</v>
      </c>
      <c r="J42" s="102"/>
      <c r="K42" s="102"/>
      <c r="L42" s="102"/>
      <c r="M42" s="102"/>
      <c r="N42" s="102"/>
      <c r="O42" s="102"/>
      <c r="P42" s="102"/>
      <c r="Q42" s="103"/>
      <c r="R42" s="105"/>
      <c r="S42" s="105"/>
      <c r="T42" s="105"/>
      <c r="U42" s="105"/>
      <c r="V42" s="105"/>
      <c r="W42" s="105"/>
      <c r="X42" s="105"/>
      <c r="Y42" s="103"/>
      <c r="Z42" s="102"/>
      <c r="AA42" s="102"/>
      <c r="AB42" s="102"/>
      <c r="AC42" s="102"/>
      <c r="AD42" s="102"/>
      <c r="AE42" s="102"/>
      <c r="AF42" s="102"/>
      <c r="AG42" s="103"/>
      <c r="AH42" s="105"/>
      <c r="AI42" s="105"/>
      <c r="AJ42" s="105"/>
      <c r="AK42" s="105"/>
      <c r="AL42" s="105"/>
      <c r="AM42" s="105"/>
      <c r="AN42" s="105"/>
      <c r="AO42" s="103"/>
      <c r="AP42" s="105"/>
      <c r="AQ42" s="105"/>
      <c r="AR42" s="105"/>
      <c r="AS42" s="105"/>
    </row>
    <row r="43" spans="1:45" x14ac:dyDescent="0.25">
      <c r="A43" s="19">
        <v>13</v>
      </c>
      <c r="B43" s="12">
        <v>42086</v>
      </c>
      <c r="C43" s="12">
        <v>42087</v>
      </c>
      <c r="D43" s="12">
        <v>42088</v>
      </c>
      <c r="E43" s="12">
        <v>42089</v>
      </c>
      <c r="F43" s="12">
        <v>42090</v>
      </c>
      <c r="G43" s="12">
        <v>42091</v>
      </c>
      <c r="H43" s="13">
        <v>42092</v>
      </c>
      <c r="J43" s="102"/>
      <c r="K43" s="102"/>
      <c r="L43" s="102"/>
      <c r="M43" s="102"/>
      <c r="N43" s="102"/>
      <c r="O43" s="102"/>
      <c r="P43" s="102"/>
      <c r="Q43" s="103"/>
      <c r="R43" s="105"/>
      <c r="S43" s="105"/>
      <c r="T43" s="105"/>
      <c r="U43" s="105"/>
      <c r="V43" s="105"/>
      <c r="W43" s="105"/>
      <c r="X43" s="105"/>
      <c r="Y43" s="103"/>
      <c r="Z43" s="102"/>
      <c r="AA43" s="102"/>
      <c r="AB43" s="102"/>
      <c r="AC43" s="102"/>
      <c r="AD43" s="102"/>
      <c r="AE43" s="102"/>
      <c r="AF43" s="102"/>
      <c r="AG43" s="103"/>
      <c r="AH43" s="105"/>
      <c r="AI43" s="105"/>
      <c r="AJ43" s="105"/>
      <c r="AK43" s="105"/>
      <c r="AL43" s="105"/>
      <c r="AM43" s="105"/>
      <c r="AN43" s="105"/>
      <c r="AO43" s="103"/>
      <c r="AP43" s="105"/>
      <c r="AQ43" s="105"/>
      <c r="AR43" s="105"/>
      <c r="AS43" s="105"/>
    </row>
    <row r="44" spans="1:45" x14ac:dyDescent="0.25">
      <c r="A44" s="19">
        <v>14</v>
      </c>
      <c r="B44" s="12">
        <v>42093</v>
      </c>
      <c r="C44" s="12">
        <v>42094</v>
      </c>
      <c r="D44" s="12">
        <v>42095</v>
      </c>
      <c r="E44" s="12">
        <v>42096</v>
      </c>
      <c r="F44" s="12">
        <v>42097</v>
      </c>
      <c r="G44" s="12">
        <v>42098</v>
      </c>
      <c r="H44" s="13">
        <v>42099</v>
      </c>
      <c r="J44" s="102"/>
      <c r="K44" s="102"/>
      <c r="L44" s="102"/>
      <c r="M44" s="102"/>
      <c r="N44" s="102"/>
      <c r="O44" s="102"/>
      <c r="P44" s="102"/>
      <c r="Q44" s="103"/>
      <c r="R44" s="105"/>
      <c r="S44" s="105"/>
      <c r="T44" s="105"/>
      <c r="U44" s="105"/>
      <c r="V44" s="105"/>
      <c r="W44" s="105"/>
      <c r="X44" s="105"/>
      <c r="Y44" s="103"/>
      <c r="Z44" s="102"/>
      <c r="AA44" s="102"/>
      <c r="AB44" s="102"/>
      <c r="AC44" s="102"/>
      <c r="AD44" s="102"/>
      <c r="AE44" s="102"/>
      <c r="AF44" s="102"/>
      <c r="AG44" s="103"/>
      <c r="AH44" s="105"/>
      <c r="AI44" s="105"/>
      <c r="AJ44" s="105"/>
      <c r="AK44" s="105"/>
      <c r="AL44" s="105"/>
      <c r="AM44" s="105"/>
      <c r="AN44" s="105"/>
      <c r="AO44" s="103"/>
      <c r="AP44" s="105"/>
      <c r="AQ44" s="105"/>
      <c r="AR44" s="105"/>
      <c r="AS44" s="105"/>
    </row>
    <row r="45" spans="1:45" x14ac:dyDescent="0.25">
      <c r="A45" s="19">
        <v>15</v>
      </c>
      <c r="B45" s="12">
        <v>42100</v>
      </c>
      <c r="C45" s="12">
        <v>42101</v>
      </c>
      <c r="D45" s="12">
        <v>42102</v>
      </c>
      <c r="E45" s="12">
        <v>42103</v>
      </c>
      <c r="F45" s="12">
        <v>42104</v>
      </c>
      <c r="G45" s="12">
        <v>42105</v>
      </c>
      <c r="H45" s="13">
        <v>42106</v>
      </c>
      <c r="J45" s="102"/>
      <c r="K45" s="102"/>
      <c r="L45" s="102"/>
      <c r="M45" s="102"/>
      <c r="N45" s="102"/>
      <c r="O45" s="102"/>
      <c r="P45" s="102"/>
      <c r="Q45" s="103"/>
      <c r="R45" s="105"/>
      <c r="S45" s="105"/>
      <c r="T45" s="105"/>
      <c r="U45" s="105"/>
      <c r="V45" s="105"/>
      <c r="W45" s="105"/>
      <c r="X45" s="105"/>
      <c r="Y45" s="103"/>
      <c r="Z45" s="102"/>
      <c r="AA45" s="102"/>
      <c r="AB45" s="102"/>
      <c r="AC45" s="102"/>
      <c r="AD45" s="102"/>
      <c r="AE45" s="102"/>
      <c r="AF45" s="102"/>
      <c r="AG45" s="103"/>
      <c r="AH45" s="105"/>
      <c r="AI45" s="105"/>
      <c r="AJ45" s="105"/>
      <c r="AK45" s="105"/>
      <c r="AL45" s="105"/>
      <c r="AM45" s="105"/>
      <c r="AN45" s="105"/>
      <c r="AO45" s="103"/>
      <c r="AP45" s="105"/>
      <c r="AQ45" s="105"/>
      <c r="AR45" s="105"/>
      <c r="AS45" s="105"/>
    </row>
    <row r="46" spans="1:45" x14ac:dyDescent="0.25">
      <c r="A46" s="19">
        <v>16</v>
      </c>
      <c r="B46" s="12">
        <v>42107</v>
      </c>
      <c r="C46" s="12">
        <v>42108</v>
      </c>
      <c r="D46" s="12">
        <v>42109</v>
      </c>
      <c r="E46" s="12">
        <v>42110</v>
      </c>
      <c r="F46" s="12">
        <v>42111</v>
      </c>
      <c r="G46" s="12">
        <v>42112</v>
      </c>
      <c r="H46" s="13">
        <v>42113</v>
      </c>
      <c r="J46" s="102"/>
      <c r="K46" s="102"/>
      <c r="L46" s="102"/>
      <c r="M46" s="102"/>
      <c r="N46" s="102"/>
      <c r="O46" s="102"/>
      <c r="P46" s="102"/>
      <c r="Q46" s="103"/>
      <c r="R46" s="105"/>
      <c r="S46" s="105"/>
      <c r="T46" s="105"/>
      <c r="U46" s="105"/>
      <c r="V46" s="105"/>
      <c r="W46" s="105"/>
      <c r="X46" s="105"/>
      <c r="Y46" s="103"/>
      <c r="Z46" s="102"/>
      <c r="AA46" s="102"/>
      <c r="AB46" s="102"/>
      <c r="AC46" s="102"/>
      <c r="AD46" s="102"/>
      <c r="AE46" s="102"/>
      <c r="AF46" s="102"/>
      <c r="AG46" s="103"/>
      <c r="AH46" s="105"/>
      <c r="AI46" s="105"/>
      <c r="AJ46" s="105"/>
      <c r="AK46" s="105"/>
      <c r="AL46" s="105"/>
      <c r="AM46" s="105"/>
      <c r="AN46" s="105"/>
      <c r="AO46" s="103"/>
      <c r="AP46" s="105"/>
      <c r="AQ46" s="105"/>
      <c r="AR46" s="105"/>
      <c r="AS46" s="105"/>
    </row>
    <row r="47" spans="1:45" x14ac:dyDescent="0.25">
      <c r="A47" s="19">
        <v>17</v>
      </c>
      <c r="B47" s="12">
        <v>42114</v>
      </c>
      <c r="C47" s="12">
        <v>42115</v>
      </c>
      <c r="D47" s="12">
        <v>42116</v>
      </c>
      <c r="E47" s="12">
        <v>42117</v>
      </c>
      <c r="F47" s="12">
        <v>42118</v>
      </c>
      <c r="G47" s="12">
        <v>42119</v>
      </c>
      <c r="H47" s="13">
        <v>42120</v>
      </c>
      <c r="J47" s="102"/>
      <c r="K47" s="102"/>
      <c r="L47" s="102"/>
      <c r="M47" s="102"/>
      <c r="N47" s="102"/>
      <c r="O47" s="102"/>
      <c r="P47" s="102"/>
      <c r="Q47" s="103"/>
      <c r="R47" s="105"/>
      <c r="S47" s="105"/>
      <c r="T47" s="105"/>
      <c r="U47" s="105"/>
      <c r="V47" s="105"/>
      <c r="W47" s="105"/>
      <c r="X47" s="105"/>
      <c r="Y47" s="103"/>
      <c r="Z47" s="102"/>
      <c r="AA47" s="102"/>
      <c r="AB47" s="102"/>
      <c r="AC47" s="102"/>
      <c r="AD47" s="102"/>
      <c r="AE47" s="102"/>
      <c r="AF47" s="102"/>
      <c r="AG47" s="103"/>
      <c r="AH47" s="105"/>
      <c r="AI47" s="105"/>
      <c r="AJ47" s="105"/>
      <c r="AK47" s="105"/>
      <c r="AL47" s="105"/>
      <c r="AM47" s="105"/>
      <c r="AN47" s="105"/>
      <c r="AO47" s="103"/>
      <c r="AP47" s="105"/>
      <c r="AQ47" s="105"/>
      <c r="AR47" s="105"/>
      <c r="AS47" s="105"/>
    </row>
    <row r="48" spans="1:45" x14ac:dyDescent="0.25">
      <c r="A48" s="19">
        <v>18</v>
      </c>
      <c r="B48" s="12">
        <v>42121</v>
      </c>
      <c r="C48" s="12">
        <v>42122</v>
      </c>
      <c r="D48" s="12">
        <v>42123</v>
      </c>
      <c r="E48" s="12">
        <v>42124</v>
      </c>
      <c r="F48" s="12">
        <v>42125</v>
      </c>
      <c r="G48" s="12">
        <v>42126</v>
      </c>
      <c r="H48" s="13">
        <v>42127</v>
      </c>
      <c r="J48" s="102"/>
      <c r="K48" s="102"/>
      <c r="L48" s="102"/>
      <c r="M48" s="102"/>
      <c r="N48" s="102"/>
      <c r="O48" s="102"/>
      <c r="P48" s="102"/>
      <c r="Q48" s="103"/>
      <c r="R48" s="105"/>
      <c r="S48" s="105"/>
      <c r="T48" s="105"/>
      <c r="U48" s="105"/>
      <c r="V48" s="105"/>
      <c r="W48" s="105"/>
      <c r="X48" s="105"/>
      <c r="Y48" s="103"/>
      <c r="Z48" s="102"/>
      <c r="AA48" s="102"/>
      <c r="AB48" s="102"/>
      <c r="AC48" s="102"/>
      <c r="AD48" s="102"/>
      <c r="AE48" s="102"/>
      <c r="AF48" s="102"/>
      <c r="AG48" s="103"/>
      <c r="AH48" s="105"/>
      <c r="AI48" s="105"/>
      <c r="AJ48" s="105"/>
      <c r="AK48" s="105"/>
      <c r="AL48" s="105"/>
      <c r="AM48" s="105"/>
      <c r="AN48" s="105"/>
      <c r="AO48" s="103"/>
      <c r="AP48" s="105"/>
      <c r="AQ48" s="105"/>
      <c r="AR48" s="105"/>
      <c r="AS48" s="105"/>
    </row>
    <row r="49" spans="1:45" x14ac:dyDescent="0.25">
      <c r="A49" s="19">
        <v>19</v>
      </c>
      <c r="B49" s="12">
        <v>42128</v>
      </c>
      <c r="C49" s="12">
        <v>42129</v>
      </c>
      <c r="D49" s="12">
        <v>42130</v>
      </c>
      <c r="E49" s="12">
        <v>42131</v>
      </c>
      <c r="F49" s="12">
        <v>42132</v>
      </c>
      <c r="G49" s="12">
        <v>42133</v>
      </c>
      <c r="H49" s="13">
        <v>42134</v>
      </c>
      <c r="J49" s="102"/>
      <c r="K49" s="102"/>
      <c r="L49" s="102"/>
      <c r="M49" s="102"/>
      <c r="N49" s="102"/>
      <c r="O49" s="102"/>
      <c r="P49" s="102"/>
      <c r="Q49" s="103"/>
      <c r="R49" s="105"/>
      <c r="S49" s="105"/>
      <c r="T49" s="105"/>
      <c r="U49" s="105"/>
      <c r="V49" s="105"/>
      <c r="W49" s="105"/>
      <c r="X49" s="105"/>
      <c r="Y49" s="103"/>
      <c r="Z49" s="102"/>
      <c r="AA49" s="102"/>
      <c r="AB49" s="102"/>
      <c r="AC49" s="102"/>
      <c r="AD49" s="102"/>
      <c r="AE49" s="102"/>
      <c r="AF49" s="102"/>
      <c r="AG49" s="103"/>
      <c r="AH49" s="105"/>
      <c r="AI49" s="105"/>
      <c r="AJ49" s="105"/>
      <c r="AK49" s="105"/>
      <c r="AL49" s="105"/>
      <c r="AM49" s="105"/>
      <c r="AN49" s="105"/>
      <c r="AO49" s="103"/>
      <c r="AP49" s="105"/>
      <c r="AQ49" s="105"/>
      <c r="AR49" s="105"/>
      <c r="AS49" s="105"/>
    </row>
    <row r="50" spans="1:45" x14ac:dyDescent="0.25">
      <c r="A50" s="19">
        <v>20</v>
      </c>
      <c r="B50" s="12">
        <v>42135</v>
      </c>
      <c r="C50" s="12">
        <v>42136</v>
      </c>
      <c r="D50" s="12">
        <v>42137</v>
      </c>
      <c r="E50" s="12">
        <v>42138</v>
      </c>
      <c r="F50" s="12">
        <v>42139</v>
      </c>
      <c r="G50" s="12">
        <v>42140</v>
      </c>
      <c r="H50" s="13">
        <v>42141</v>
      </c>
      <c r="J50" s="102"/>
      <c r="K50" s="102"/>
      <c r="L50" s="102"/>
      <c r="M50" s="102"/>
      <c r="N50" s="102"/>
      <c r="O50" s="102"/>
      <c r="P50" s="102"/>
      <c r="Q50" s="103"/>
      <c r="R50" s="105"/>
      <c r="S50" s="105"/>
      <c r="T50" s="105"/>
      <c r="U50" s="105"/>
      <c r="V50" s="105"/>
      <c r="W50" s="105"/>
      <c r="X50" s="105"/>
      <c r="Y50" s="103"/>
      <c r="Z50" s="102"/>
      <c r="AA50" s="102"/>
      <c r="AB50" s="102"/>
      <c r="AC50" s="102"/>
      <c r="AD50" s="102"/>
      <c r="AE50" s="102"/>
      <c r="AF50" s="102"/>
      <c r="AG50" s="103"/>
      <c r="AH50" s="105"/>
      <c r="AI50" s="105"/>
      <c r="AJ50" s="105"/>
      <c r="AK50" s="105"/>
      <c r="AL50" s="105"/>
      <c r="AM50" s="105"/>
      <c r="AN50" s="105"/>
      <c r="AO50" s="103"/>
      <c r="AP50" s="105"/>
      <c r="AQ50" s="105"/>
      <c r="AR50" s="105"/>
      <c r="AS50" s="105"/>
    </row>
    <row r="51" spans="1:45" x14ac:dyDescent="0.25">
      <c r="A51" s="19">
        <v>21</v>
      </c>
      <c r="B51" s="12">
        <v>42142</v>
      </c>
      <c r="C51" s="12">
        <v>42143</v>
      </c>
      <c r="D51" s="12">
        <v>42144</v>
      </c>
      <c r="E51" s="12">
        <v>42145</v>
      </c>
      <c r="F51" s="12">
        <v>42146</v>
      </c>
      <c r="G51" s="12">
        <v>42147</v>
      </c>
      <c r="H51" s="13">
        <v>42148</v>
      </c>
      <c r="J51" s="102"/>
      <c r="K51" s="102"/>
      <c r="L51" s="102"/>
      <c r="M51" s="102"/>
      <c r="N51" s="102"/>
      <c r="O51" s="102"/>
      <c r="P51" s="102"/>
      <c r="Q51" s="103"/>
      <c r="R51" s="105"/>
      <c r="S51" s="105"/>
      <c r="T51" s="105"/>
      <c r="U51" s="105"/>
      <c r="V51" s="105"/>
      <c r="W51" s="105"/>
      <c r="X51" s="105"/>
      <c r="Y51" s="103"/>
      <c r="Z51" s="102"/>
      <c r="AA51" s="102"/>
      <c r="AB51" s="102"/>
      <c r="AC51" s="102"/>
      <c r="AD51" s="102"/>
      <c r="AE51" s="102"/>
      <c r="AF51" s="102"/>
      <c r="AG51" s="103"/>
      <c r="AH51" s="105"/>
      <c r="AI51" s="105"/>
      <c r="AJ51" s="105"/>
      <c r="AK51" s="105"/>
      <c r="AL51" s="105"/>
      <c r="AM51" s="105"/>
      <c r="AN51" s="105"/>
      <c r="AO51" s="103"/>
      <c r="AP51" s="105"/>
      <c r="AQ51" s="105"/>
      <c r="AR51" s="105"/>
      <c r="AS51" s="105"/>
    </row>
    <row r="52" spans="1:45" x14ac:dyDescent="0.25">
      <c r="A52" s="19">
        <v>22</v>
      </c>
      <c r="B52" s="12">
        <v>42149</v>
      </c>
      <c r="C52" s="12">
        <v>42150</v>
      </c>
      <c r="D52" s="12">
        <v>42151</v>
      </c>
      <c r="E52" s="12">
        <v>42152</v>
      </c>
      <c r="F52" s="12">
        <v>42153</v>
      </c>
      <c r="G52" s="12">
        <v>42154</v>
      </c>
      <c r="H52" s="13">
        <v>42155</v>
      </c>
      <c r="J52" s="102"/>
      <c r="K52" s="102"/>
      <c r="L52" s="102"/>
      <c r="M52" s="102"/>
      <c r="N52" s="102"/>
      <c r="O52" s="102"/>
      <c r="P52" s="102"/>
      <c r="Q52" s="103"/>
      <c r="R52" s="105"/>
      <c r="S52" s="105"/>
      <c r="T52" s="105"/>
      <c r="U52" s="105"/>
      <c r="V52" s="105"/>
      <c r="W52" s="105"/>
      <c r="X52" s="105"/>
      <c r="Y52" s="103"/>
      <c r="Z52" s="102"/>
      <c r="AA52" s="102"/>
      <c r="AB52" s="102"/>
      <c r="AC52" s="102"/>
      <c r="AD52" s="102"/>
      <c r="AE52" s="102"/>
      <c r="AF52" s="102"/>
      <c r="AG52" s="103"/>
      <c r="AH52" s="105"/>
      <c r="AI52" s="105"/>
      <c r="AJ52" s="105"/>
      <c r="AK52" s="105"/>
      <c r="AL52" s="105"/>
      <c r="AM52" s="105"/>
      <c r="AN52" s="105"/>
      <c r="AO52" s="103"/>
      <c r="AP52" s="105"/>
      <c r="AQ52" s="105"/>
      <c r="AR52" s="105"/>
      <c r="AS52" s="105"/>
    </row>
    <row r="53" spans="1:45" x14ac:dyDescent="0.25">
      <c r="A53" s="19">
        <v>23</v>
      </c>
      <c r="B53" s="12">
        <v>42156</v>
      </c>
      <c r="C53" s="12">
        <v>42157</v>
      </c>
      <c r="D53" s="12">
        <v>42158</v>
      </c>
      <c r="E53" s="12">
        <v>42159</v>
      </c>
      <c r="F53" s="12">
        <v>42160</v>
      </c>
      <c r="G53" s="12">
        <v>42161</v>
      </c>
      <c r="H53" s="13">
        <v>42162</v>
      </c>
      <c r="J53" s="102"/>
      <c r="K53" s="102"/>
      <c r="L53" s="102"/>
      <c r="M53" s="102"/>
      <c r="N53" s="102"/>
      <c r="O53" s="102"/>
      <c r="P53" s="102"/>
      <c r="Q53" s="103"/>
      <c r="R53" s="105"/>
      <c r="S53" s="105"/>
      <c r="T53" s="105"/>
      <c r="U53" s="105"/>
      <c r="V53" s="105"/>
      <c r="W53" s="105"/>
      <c r="X53" s="105"/>
      <c r="Y53" s="103"/>
      <c r="Z53" s="102"/>
      <c r="AA53" s="102"/>
      <c r="AB53" s="102"/>
      <c r="AC53" s="102"/>
      <c r="AD53" s="102"/>
      <c r="AE53" s="102"/>
      <c r="AF53" s="102"/>
      <c r="AG53" s="103"/>
      <c r="AH53" s="105"/>
      <c r="AI53" s="105"/>
      <c r="AJ53" s="105"/>
      <c r="AK53" s="105"/>
      <c r="AL53" s="105"/>
      <c r="AM53" s="105"/>
      <c r="AN53" s="105"/>
      <c r="AO53" s="103"/>
      <c r="AP53" s="105"/>
      <c r="AQ53" s="105"/>
      <c r="AR53" s="105"/>
      <c r="AS53" s="105"/>
    </row>
    <row r="54" spans="1:45" x14ac:dyDescent="0.25">
      <c r="A54" s="19">
        <v>24</v>
      </c>
      <c r="B54" s="12">
        <v>42163</v>
      </c>
      <c r="C54" s="12">
        <v>42164</v>
      </c>
      <c r="D54" s="12">
        <v>42165</v>
      </c>
      <c r="E54" s="12">
        <v>42166</v>
      </c>
      <c r="F54" s="12">
        <v>42167</v>
      </c>
      <c r="G54" s="12">
        <v>42168</v>
      </c>
      <c r="H54" s="13">
        <v>42169</v>
      </c>
      <c r="J54" s="102"/>
      <c r="K54" s="102"/>
      <c r="L54" s="102"/>
      <c r="M54" s="102"/>
      <c r="N54" s="102"/>
      <c r="O54" s="102"/>
      <c r="P54" s="102"/>
      <c r="Q54" s="103"/>
      <c r="R54" s="105"/>
      <c r="S54" s="105"/>
      <c r="T54" s="105"/>
      <c r="U54" s="105"/>
      <c r="V54" s="105"/>
      <c r="W54" s="105"/>
      <c r="X54" s="105"/>
      <c r="Y54" s="103"/>
      <c r="Z54" s="102"/>
      <c r="AA54" s="102"/>
      <c r="AB54" s="102"/>
      <c r="AC54" s="102"/>
      <c r="AD54" s="102"/>
      <c r="AE54" s="102"/>
      <c r="AF54" s="102"/>
      <c r="AG54" s="103"/>
      <c r="AH54" s="105"/>
      <c r="AI54" s="105"/>
      <c r="AJ54" s="105"/>
      <c r="AK54" s="105"/>
      <c r="AL54" s="105"/>
      <c r="AM54" s="105"/>
      <c r="AN54" s="105"/>
      <c r="AO54" s="103"/>
      <c r="AP54" s="105"/>
      <c r="AQ54" s="105"/>
      <c r="AR54" s="105"/>
      <c r="AS54" s="105"/>
    </row>
    <row r="55" spans="1:45" x14ac:dyDescent="0.25">
      <c r="A55" s="19">
        <v>25</v>
      </c>
      <c r="B55" s="12">
        <v>42170</v>
      </c>
      <c r="C55" s="12">
        <v>42171</v>
      </c>
      <c r="D55" s="12">
        <v>42172</v>
      </c>
      <c r="E55" s="12">
        <v>42173</v>
      </c>
      <c r="F55" s="12">
        <v>42174</v>
      </c>
      <c r="G55" s="12">
        <v>42175</v>
      </c>
      <c r="H55" s="13">
        <v>42176</v>
      </c>
      <c r="J55" s="102"/>
      <c r="K55" s="102"/>
      <c r="L55" s="102"/>
      <c r="M55" s="102"/>
      <c r="N55" s="102"/>
      <c r="O55" s="102"/>
      <c r="P55" s="102"/>
      <c r="Q55" s="103"/>
      <c r="R55" s="105"/>
      <c r="S55" s="105"/>
      <c r="T55" s="105"/>
      <c r="U55" s="105"/>
      <c r="V55" s="105"/>
      <c r="W55" s="105"/>
      <c r="X55" s="105"/>
      <c r="Y55" s="103"/>
      <c r="Z55" s="102"/>
      <c r="AA55" s="102"/>
      <c r="AB55" s="102"/>
      <c r="AC55" s="102"/>
      <c r="AD55" s="102"/>
      <c r="AE55" s="102"/>
      <c r="AF55" s="102"/>
      <c r="AG55" s="103"/>
      <c r="AH55" s="105"/>
      <c r="AI55" s="105"/>
      <c r="AJ55" s="105"/>
      <c r="AK55" s="105"/>
      <c r="AL55" s="105"/>
      <c r="AM55" s="105"/>
      <c r="AN55" s="105"/>
      <c r="AO55" s="103"/>
      <c r="AP55" s="105"/>
      <c r="AQ55" s="105"/>
      <c r="AR55" s="105"/>
      <c r="AS55" s="105"/>
    </row>
    <row r="56" spans="1:45" x14ac:dyDescent="0.25">
      <c r="A56" s="19">
        <v>26</v>
      </c>
      <c r="B56" s="12">
        <v>42177</v>
      </c>
      <c r="C56" s="12">
        <v>42178</v>
      </c>
      <c r="D56" s="12">
        <v>42179</v>
      </c>
      <c r="E56" s="12">
        <v>42180</v>
      </c>
      <c r="F56" s="12">
        <v>42181</v>
      </c>
      <c r="G56" s="12">
        <v>42182</v>
      </c>
      <c r="H56" s="13">
        <v>42183</v>
      </c>
      <c r="J56" s="102"/>
      <c r="K56" s="102"/>
      <c r="L56" s="102"/>
      <c r="M56" s="102"/>
      <c r="N56" s="102"/>
      <c r="O56" s="102"/>
      <c r="P56" s="102"/>
      <c r="Q56" s="103"/>
      <c r="R56" s="105"/>
      <c r="S56" s="105"/>
      <c r="T56" s="105"/>
      <c r="U56" s="105"/>
      <c r="V56" s="105"/>
      <c r="W56" s="105"/>
      <c r="X56" s="105"/>
      <c r="Y56" s="103"/>
      <c r="Z56" s="102"/>
      <c r="AA56" s="102"/>
      <c r="AB56" s="102"/>
      <c r="AC56" s="102"/>
      <c r="AD56" s="102"/>
      <c r="AE56" s="102"/>
      <c r="AF56" s="102"/>
      <c r="AG56" s="103"/>
      <c r="AH56" s="105"/>
      <c r="AI56" s="105"/>
      <c r="AJ56" s="105"/>
      <c r="AK56" s="105"/>
      <c r="AL56" s="105"/>
      <c r="AM56" s="105"/>
      <c r="AN56" s="105"/>
      <c r="AO56" s="103"/>
      <c r="AP56" s="105"/>
      <c r="AQ56" s="105"/>
      <c r="AR56" s="105"/>
      <c r="AS56" s="105"/>
    </row>
    <row r="57" spans="1:45" x14ac:dyDescent="0.25">
      <c r="A57" s="19">
        <v>27</v>
      </c>
      <c r="B57" s="12">
        <v>42184</v>
      </c>
      <c r="C57" s="12">
        <v>42185</v>
      </c>
      <c r="D57" s="12">
        <v>42186</v>
      </c>
      <c r="E57" s="12">
        <v>42187</v>
      </c>
      <c r="F57" s="12">
        <v>42188</v>
      </c>
      <c r="G57" s="12">
        <v>42189</v>
      </c>
      <c r="H57" s="13">
        <v>42190</v>
      </c>
      <c r="J57" s="102"/>
      <c r="K57" s="102"/>
      <c r="L57" s="102"/>
      <c r="M57" s="102"/>
      <c r="N57" s="102"/>
      <c r="O57" s="102"/>
      <c r="P57" s="102"/>
      <c r="Q57" s="103"/>
      <c r="R57" s="105"/>
      <c r="S57" s="105"/>
      <c r="T57" s="105"/>
      <c r="U57" s="105"/>
      <c r="V57" s="105"/>
      <c r="W57" s="105"/>
      <c r="X57" s="105"/>
      <c r="Y57" s="103"/>
      <c r="Z57" s="102"/>
      <c r="AA57" s="102"/>
      <c r="AB57" s="102"/>
      <c r="AC57" s="102"/>
      <c r="AD57" s="102"/>
      <c r="AE57" s="102"/>
      <c r="AF57" s="102"/>
      <c r="AG57" s="103"/>
      <c r="AH57" s="105"/>
      <c r="AI57" s="105"/>
      <c r="AJ57" s="105"/>
      <c r="AK57" s="105"/>
      <c r="AL57" s="105"/>
      <c r="AM57" s="105"/>
      <c r="AN57" s="105"/>
      <c r="AO57" s="103"/>
      <c r="AP57" s="105"/>
      <c r="AQ57" s="105"/>
      <c r="AR57" s="105"/>
      <c r="AS57" s="105"/>
    </row>
    <row r="58" spans="1:45" x14ac:dyDescent="0.25">
      <c r="A58" s="19">
        <v>28</v>
      </c>
      <c r="B58" s="12">
        <v>42191</v>
      </c>
      <c r="C58" s="12">
        <v>42192</v>
      </c>
      <c r="D58" s="12">
        <v>42193</v>
      </c>
      <c r="E58" s="12">
        <v>42194</v>
      </c>
      <c r="F58" s="12">
        <v>42195</v>
      </c>
      <c r="G58" s="12">
        <v>42196</v>
      </c>
      <c r="H58" s="13">
        <v>42197</v>
      </c>
      <c r="J58" s="102"/>
      <c r="K58" s="102"/>
      <c r="L58" s="102"/>
      <c r="M58" s="102"/>
      <c r="N58" s="102"/>
      <c r="O58" s="102"/>
      <c r="P58" s="102"/>
      <c r="Q58" s="103"/>
      <c r="R58" s="105"/>
      <c r="S58" s="105"/>
      <c r="T58" s="105"/>
      <c r="U58" s="105"/>
      <c r="V58" s="105"/>
      <c r="W58" s="105"/>
      <c r="X58" s="105"/>
      <c r="Y58" s="103"/>
      <c r="Z58" s="102"/>
      <c r="AA58" s="102"/>
      <c r="AB58" s="102"/>
      <c r="AC58" s="102"/>
      <c r="AD58" s="102"/>
      <c r="AE58" s="102"/>
      <c r="AF58" s="102"/>
      <c r="AG58" s="103"/>
      <c r="AH58" s="105"/>
      <c r="AI58" s="105"/>
      <c r="AJ58" s="105"/>
      <c r="AK58" s="105"/>
      <c r="AL58" s="105"/>
      <c r="AM58" s="105"/>
      <c r="AN58" s="105"/>
      <c r="AO58" s="103"/>
      <c r="AP58" s="105"/>
      <c r="AQ58" s="105"/>
      <c r="AR58" s="105"/>
      <c r="AS58" s="105"/>
    </row>
    <row r="59" spans="1:45" x14ac:dyDescent="0.25">
      <c r="A59" s="19">
        <v>29</v>
      </c>
      <c r="B59" s="12">
        <v>42198</v>
      </c>
      <c r="C59" s="12">
        <v>42199</v>
      </c>
      <c r="D59" s="12">
        <v>42200</v>
      </c>
      <c r="E59" s="12">
        <v>42201</v>
      </c>
      <c r="F59" s="12">
        <v>42202</v>
      </c>
      <c r="G59" s="12">
        <v>42203</v>
      </c>
      <c r="H59" s="13">
        <v>42204</v>
      </c>
      <c r="J59" s="102"/>
      <c r="K59" s="102"/>
      <c r="L59" s="102"/>
      <c r="M59" s="102"/>
      <c r="N59" s="102"/>
      <c r="O59" s="102"/>
      <c r="P59" s="102"/>
      <c r="Q59" s="103"/>
      <c r="R59" s="105"/>
      <c r="S59" s="105"/>
      <c r="T59" s="105"/>
      <c r="U59" s="105"/>
      <c r="V59" s="105"/>
      <c r="W59" s="105"/>
      <c r="X59" s="105"/>
      <c r="Y59" s="103"/>
      <c r="Z59" s="102"/>
      <c r="AA59" s="102"/>
      <c r="AB59" s="102"/>
      <c r="AC59" s="102"/>
      <c r="AD59" s="102"/>
      <c r="AE59" s="102"/>
      <c r="AF59" s="102"/>
      <c r="AG59" s="103"/>
      <c r="AH59" s="105"/>
      <c r="AI59" s="105"/>
      <c r="AJ59" s="105"/>
      <c r="AK59" s="105"/>
      <c r="AL59" s="105"/>
      <c r="AM59" s="105"/>
      <c r="AN59" s="105"/>
      <c r="AO59" s="103"/>
      <c r="AP59" s="105"/>
      <c r="AQ59" s="105"/>
      <c r="AR59" s="105"/>
      <c r="AS59" s="105"/>
    </row>
    <row r="60" spans="1:45" x14ac:dyDescent="0.25">
      <c r="A60" s="19">
        <v>30</v>
      </c>
      <c r="B60" s="12">
        <v>42205</v>
      </c>
      <c r="C60" s="12">
        <v>42206</v>
      </c>
      <c r="D60" s="12">
        <v>42207</v>
      </c>
      <c r="E60" s="12">
        <v>42208</v>
      </c>
      <c r="F60" s="12">
        <v>42209</v>
      </c>
      <c r="G60" s="12">
        <v>42210</v>
      </c>
      <c r="H60" s="13">
        <v>42211</v>
      </c>
      <c r="J60" s="102"/>
      <c r="K60" s="102"/>
      <c r="L60" s="102"/>
      <c r="M60" s="102"/>
      <c r="N60" s="102"/>
      <c r="O60" s="102"/>
      <c r="P60" s="102"/>
      <c r="Q60" s="103"/>
      <c r="R60" s="105"/>
      <c r="S60" s="105"/>
      <c r="T60" s="105"/>
      <c r="U60" s="105"/>
      <c r="V60" s="105"/>
      <c r="W60" s="105"/>
      <c r="X60" s="105"/>
      <c r="Y60" s="103"/>
      <c r="Z60" s="102"/>
      <c r="AA60" s="102"/>
      <c r="AB60" s="102"/>
      <c r="AC60" s="102"/>
      <c r="AD60" s="102"/>
      <c r="AE60" s="102"/>
      <c r="AF60" s="102"/>
      <c r="AG60" s="103"/>
      <c r="AH60" s="105"/>
      <c r="AI60" s="105"/>
      <c r="AJ60" s="105"/>
      <c r="AK60" s="105"/>
      <c r="AL60" s="105"/>
      <c r="AM60" s="105"/>
      <c r="AN60" s="105"/>
      <c r="AO60" s="103"/>
      <c r="AP60" s="105"/>
      <c r="AQ60" s="105"/>
      <c r="AR60" s="105"/>
      <c r="AS60" s="105"/>
    </row>
    <row r="61" spans="1:45" x14ac:dyDescent="0.25">
      <c r="A61" s="19">
        <v>31</v>
      </c>
      <c r="B61" s="12">
        <v>42212</v>
      </c>
      <c r="C61" s="12">
        <v>42213</v>
      </c>
      <c r="D61" s="12">
        <v>42214</v>
      </c>
      <c r="E61" s="12">
        <v>42215</v>
      </c>
      <c r="F61" s="12">
        <v>42216</v>
      </c>
      <c r="G61" s="12">
        <v>42217</v>
      </c>
      <c r="H61" s="13">
        <v>42218</v>
      </c>
      <c r="J61" s="102"/>
      <c r="K61" s="102"/>
      <c r="L61" s="102"/>
      <c r="M61" s="102"/>
      <c r="N61" s="102"/>
      <c r="O61" s="102"/>
      <c r="P61" s="102"/>
      <c r="Q61" s="103"/>
      <c r="R61" s="105"/>
      <c r="S61" s="105"/>
      <c r="T61" s="105"/>
      <c r="U61" s="105"/>
      <c r="V61" s="105"/>
      <c r="W61" s="105"/>
      <c r="X61" s="105"/>
      <c r="Y61" s="103"/>
      <c r="Z61" s="102"/>
      <c r="AA61" s="102"/>
      <c r="AB61" s="102"/>
      <c r="AC61" s="102"/>
      <c r="AD61" s="102"/>
      <c r="AE61" s="102"/>
      <c r="AF61" s="102"/>
      <c r="AG61" s="103"/>
      <c r="AH61" s="105"/>
      <c r="AI61" s="105"/>
      <c r="AJ61" s="105"/>
      <c r="AK61" s="105"/>
      <c r="AL61" s="105"/>
      <c r="AM61" s="105"/>
      <c r="AN61" s="105"/>
      <c r="AO61" s="103"/>
      <c r="AP61" s="105"/>
      <c r="AQ61" s="105"/>
      <c r="AR61" s="105"/>
      <c r="AS61" s="105"/>
    </row>
    <row r="62" spans="1:45" x14ac:dyDescent="0.25">
      <c r="A62" s="19">
        <v>32</v>
      </c>
      <c r="B62" s="12">
        <v>42219</v>
      </c>
      <c r="C62" s="12">
        <v>42220</v>
      </c>
      <c r="D62" s="12">
        <v>42221</v>
      </c>
      <c r="E62" s="12">
        <v>42222</v>
      </c>
      <c r="F62" s="12">
        <v>42223</v>
      </c>
      <c r="G62" s="12">
        <v>42224</v>
      </c>
      <c r="H62" s="13">
        <v>42225</v>
      </c>
      <c r="J62" s="102"/>
      <c r="K62" s="102"/>
      <c r="L62" s="102"/>
      <c r="M62" s="102"/>
      <c r="N62" s="102"/>
      <c r="O62" s="102"/>
      <c r="P62" s="102"/>
      <c r="Q62" s="103"/>
      <c r="R62" s="105"/>
      <c r="S62" s="105"/>
      <c r="T62" s="105"/>
      <c r="U62" s="105"/>
      <c r="V62" s="105"/>
      <c r="W62" s="105"/>
      <c r="X62" s="105"/>
      <c r="Y62" s="103"/>
      <c r="Z62" s="102"/>
      <c r="AA62" s="102"/>
      <c r="AB62" s="102"/>
      <c r="AC62" s="102"/>
      <c r="AD62" s="102"/>
      <c r="AE62" s="102"/>
      <c r="AF62" s="102"/>
      <c r="AG62" s="103"/>
      <c r="AH62" s="105"/>
      <c r="AI62" s="105"/>
      <c r="AJ62" s="105"/>
      <c r="AK62" s="105"/>
      <c r="AL62" s="105"/>
      <c r="AM62" s="105"/>
      <c r="AN62" s="105"/>
      <c r="AO62" s="103"/>
      <c r="AP62" s="105"/>
      <c r="AQ62" s="105"/>
      <c r="AR62" s="105"/>
      <c r="AS62" s="105"/>
    </row>
    <row r="63" spans="1:45" x14ac:dyDescent="0.25">
      <c r="A63" s="19">
        <v>33</v>
      </c>
      <c r="B63" s="12">
        <v>42226</v>
      </c>
      <c r="C63" s="12">
        <v>42227</v>
      </c>
      <c r="D63" s="12">
        <v>42228</v>
      </c>
      <c r="E63" s="12">
        <v>42229</v>
      </c>
      <c r="F63" s="12">
        <v>42230</v>
      </c>
      <c r="G63" s="12">
        <v>42231</v>
      </c>
      <c r="H63" s="13">
        <v>42232</v>
      </c>
      <c r="J63" s="102"/>
      <c r="K63" s="102"/>
      <c r="L63" s="102"/>
      <c r="M63" s="102"/>
      <c r="N63" s="102"/>
      <c r="O63" s="102"/>
      <c r="P63" s="102"/>
      <c r="Q63" s="103"/>
      <c r="R63" s="105"/>
      <c r="S63" s="105"/>
      <c r="T63" s="105"/>
      <c r="U63" s="105"/>
      <c r="V63" s="105"/>
      <c r="W63" s="105"/>
      <c r="X63" s="105"/>
      <c r="Y63" s="103"/>
      <c r="Z63" s="102"/>
      <c r="AA63" s="102"/>
      <c r="AB63" s="102"/>
      <c r="AC63" s="102"/>
      <c r="AD63" s="102"/>
      <c r="AE63" s="102"/>
      <c r="AF63" s="102"/>
      <c r="AG63" s="103"/>
      <c r="AH63" s="105"/>
      <c r="AI63" s="105"/>
      <c r="AJ63" s="105"/>
      <c r="AK63" s="105"/>
      <c r="AL63" s="105"/>
      <c r="AM63" s="105"/>
      <c r="AN63" s="105"/>
      <c r="AO63" s="103"/>
      <c r="AP63" s="105"/>
      <c r="AQ63" s="105"/>
      <c r="AR63" s="105"/>
      <c r="AS63" s="105"/>
    </row>
    <row r="64" spans="1:45" x14ac:dyDescent="0.25">
      <c r="A64" s="19">
        <v>34</v>
      </c>
      <c r="B64" s="12">
        <v>42233</v>
      </c>
      <c r="C64" s="12">
        <v>42234</v>
      </c>
      <c r="D64" s="12">
        <v>42235</v>
      </c>
      <c r="E64" s="12">
        <v>42236</v>
      </c>
      <c r="F64" s="12">
        <v>42237</v>
      </c>
      <c r="G64" s="12">
        <v>42238</v>
      </c>
      <c r="H64" s="13">
        <v>42239</v>
      </c>
      <c r="J64" s="102"/>
      <c r="K64" s="102"/>
      <c r="L64" s="102"/>
      <c r="M64" s="102"/>
      <c r="N64" s="102"/>
      <c r="O64" s="102"/>
      <c r="P64" s="102"/>
      <c r="Q64" s="103"/>
      <c r="R64" s="105"/>
      <c r="S64" s="105"/>
      <c r="T64" s="105"/>
      <c r="U64" s="105"/>
      <c r="V64" s="105"/>
      <c r="W64" s="105"/>
      <c r="X64" s="105"/>
      <c r="Y64" s="103"/>
      <c r="Z64" s="102"/>
      <c r="AA64" s="102"/>
      <c r="AB64" s="102"/>
      <c r="AC64" s="102"/>
      <c r="AD64" s="102"/>
      <c r="AE64" s="102"/>
      <c r="AF64" s="102"/>
      <c r="AG64" s="103"/>
      <c r="AH64" s="105"/>
      <c r="AI64" s="105"/>
      <c r="AJ64" s="105"/>
      <c r="AK64" s="105"/>
      <c r="AL64" s="105"/>
      <c r="AM64" s="105"/>
      <c r="AN64" s="105"/>
      <c r="AO64" s="103"/>
      <c r="AP64" s="105"/>
      <c r="AQ64" s="105"/>
      <c r="AR64" s="105"/>
      <c r="AS64" s="105"/>
    </row>
    <row r="65" spans="1:45" x14ac:dyDescent="0.25">
      <c r="A65" s="19">
        <v>35</v>
      </c>
      <c r="B65" s="12">
        <v>42240</v>
      </c>
      <c r="C65" s="12">
        <v>42241</v>
      </c>
      <c r="D65" s="12">
        <v>42242</v>
      </c>
      <c r="E65" s="12">
        <v>42243</v>
      </c>
      <c r="F65" s="12">
        <v>42244</v>
      </c>
      <c r="G65" s="12">
        <v>42245</v>
      </c>
      <c r="H65" s="13">
        <v>42246</v>
      </c>
      <c r="J65" s="102"/>
      <c r="K65" s="102"/>
      <c r="L65" s="102"/>
      <c r="M65" s="102"/>
      <c r="N65" s="102"/>
      <c r="O65" s="102"/>
      <c r="P65" s="102"/>
      <c r="Q65" s="103"/>
      <c r="R65" s="105"/>
      <c r="S65" s="105"/>
      <c r="T65" s="105"/>
      <c r="U65" s="105"/>
      <c r="V65" s="105"/>
      <c r="W65" s="105"/>
      <c r="X65" s="105"/>
      <c r="Y65" s="103"/>
      <c r="Z65" s="102"/>
      <c r="AA65" s="102"/>
      <c r="AB65" s="102"/>
      <c r="AC65" s="102"/>
      <c r="AD65" s="102"/>
      <c r="AE65" s="102"/>
      <c r="AF65" s="102"/>
      <c r="AG65" s="103"/>
      <c r="AH65" s="105"/>
      <c r="AI65" s="105"/>
      <c r="AJ65" s="105"/>
      <c r="AK65" s="105"/>
      <c r="AL65" s="105"/>
      <c r="AM65" s="105"/>
      <c r="AN65" s="105"/>
      <c r="AO65" s="103"/>
      <c r="AP65" s="105"/>
      <c r="AQ65" s="105"/>
      <c r="AR65" s="105"/>
      <c r="AS65" s="105"/>
    </row>
    <row r="66" spans="1:45" x14ac:dyDescent="0.25">
      <c r="A66" s="19">
        <v>36</v>
      </c>
      <c r="B66" s="12">
        <v>42247</v>
      </c>
      <c r="C66" s="12">
        <v>42248</v>
      </c>
      <c r="D66" s="12">
        <v>42249</v>
      </c>
      <c r="E66" s="12">
        <v>42250</v>
      </c>
      <c r="F66" s="12">
        <v>42251</v>
      </c>
      <c r="G66" s="12">
        <v>42252</v>
      </c>
      <c r="H66" s="13">
        <v>42253</v>
      </c>
      <c r="J66" s="102"/>
      <c r="K66" s="102"/>
      <c r="L66" s="102"/>
      <c r="M66" s="102"/>
      <c r="N66" s="102"/>
      <c r="O66" s="102"/>
      <c r="P66" s="102"/>
      <c r="Q66" s="103"/>
      <c r="R66" s="105"/>
      <c r="S66" s="105"/>
      <c r="T66" s="105"/>
      <c r="U66" s="105"/>
      <c r="V66" s="105"/>
      <c r="W66" s="105"/>
      <c r="X66" s="105"/>
      <c r="Y66" s="103"/>
      <c r="Z66" s="102"/>
      <c r="AA66" s="102"/>
      <c r="AB66" s="102"/>
      <c r="AC66" s="102"/>
      <c r="AD66" s="102"/>
      <c r="AE66" s="102"/>
      <c r="AF66" s="102"/>
      <c r="AG66" s="103"/>
      <c r="AH66" s="105"/>
      <c r="AI66" s="105"/>
      <c r="AJ66" s="105"/>
      <c r="AK66" s="105"/>
      <c r="AL66" s="105"/>
      <c r="AM66" s="105"/>
      <c r="AN66" s="105"/>
      <c r="AO66" s="103"/>
      <c r="AP66" s="105"/>
      <c r="AQ66" s="105"/>
      <c r="AR66" s="105"/>
      <c r="AS66" s="105"/>
    </row>
    <row r="67" spans="1:45" x14ac:dyDescent="0.25">
      <c r="A67" s="19">
        <v>37</v>
      </c>
      <c r="B67" s="12">
        <v>42254</v>
      </c>
      <c r="C67" s="12">
        <v>42255</v>
      </c>
      <c r="D67" s="12">
        <v>42256</v>
      </c>
      <c r="E67" s="12">
        <v>42257</v>
      </c>
      <c r="F67" s="12">
        <v>42258</v>
      </c>
      <c r="G67" s="12">
        <v>42259</v>
      </c>
      <c r="H67" s="13">
        <v>42260</v>
      </c>
      <c r="J67" s="102"/>
      <c r="K67" s="102"/>
      <c r="L67" s="102"/>
      <c r="M67" s="102"/>
      <c r="N67" s="102"/>
      <c r="O67" s="102"/>
      <c r="P67" s="102"/>
      <c r="Q67" s="103"/>
      <c r="R67" s="105"/>
      <c r="S67" s="105"/>
      <c r="T67" s="105"/>
      <c r="U67" s="105"/>
      <c r="V67" s="105"/>
      <c r="W67" s="105"/>
      <c r="X67" s="105"/>
      <c r="Y67" s="103"/>
      <c r="Z67" s="102"/>
      <c r="AA67" s="102"/>
      <c r="AB67" s="102"/>
      <c r="AC67" s="102"/>
      <c r="AD67" s="102"/>
      <c r="AE67" s="102"/>
      <c r="AF67" s="102"/>
      <c r="AG67" s="103"/>
      <c r="AH67" s="105"/>
      <c r="AI67" s="105"/>
      <c r="AJ67" s="105"/>
      <c r="AK67" s="105"/>
      <c r="AL67" s="105"/>
      <c r="AM67" s="105"/>
      <c r="AN67" s="105"/>
      <c r="AO67" s="103"/>
      <c r="AP67" s="105"/>
      <c r="AQ67" s="105"/>
      <c r="AR67" s="105"/>
      <c r="AS67" s="105"/>
    </row>
    <row r="68" spans="1:45" x14ac:dyDescent="0.25">
      <c r="A68" s="19">
        <v>38</v>
      </c>
      <c r="B68" s="12">
        <v>42261</v>
      </c>
      <c r="C68" s="12">
        <v>42262</v>
      </c>
      <c r="D68" s="12">
        <v>42263</v>
      </c>
      <c r="E68" s="12">
        <v>42264</v>
      </c>
      <c r="F68" s="12">
        <v>42265</v>
      </c>
      <c r="G68" s="12">
        <v>42266</v>
      </c>
      <c r="H68" s="13">
        <v>42267</v>
      </c>
      <c r="J68" s="102"/>
      <c r="K68" s="102"/>
      <c r="L68" s="102"/>
      <c r="M68" s="102"/>
      <c r="N68" s="102"/>
      <c r="O68" s="102"/>
      <c r="P68" s="102"/>
      <c r="Q68" s="103"/>
      <c r="R68" s="105"/>
      <c r="S68" s="105"/>
      <c r="T68" s="105"/>
      <c r="U68" s="105"/>
      <c r="V68" s="105"/>
      <c r="W68" s="105"/>
      <c r="X68" s="105"/>
      <c r="Y68" s="103"/>
      <c r="Z68" s="102"/>
      <c r="AA68" s="102"/>
      <c r="AB68" s="102"/>
      <c r="AC68" s="102"/>
      <c r="AD68" s="102"/>
      <c r="AE68" s="102"/>
      <c r="AF68" s="102"/>
      <c r="AG68" s="103"/>
      <c r="AH68" s="105"/>
      <c r="AI68" s="105"/>
      <c r="AJ68" s="105"/>
      <c r="AK68" s="105"/>
      <c r="AL68" s="105"/>
      <c r="AM68" s="105"/>
      <c r="AN68" s="105"/>
      <c r="AO68" s="103"/>
      <c r="AP68" s="105"/>
      <c r="AQ68" s="105"/>
      <c r="AR68" s="105"/>
      <c r="AS68" s="105"/>
    </row>
    <row r="69" spans="1:45" x14ac:dyDescent="0.25">
      <c r="A69" s="19">
        <v>39</v>
      </c>
      <c r="B69" s="12">
        <v>42268</v>
      </c>
      <c r="C69" s="12">
        <v>42269</v>
      </c>
      <c r="D69" s="12">
        <v>42270</v>
      </c>
      <c r="E69" s="12">
        <v>42271</v>
      </c>
      <c r="F69" s="12">
        <v>42272</v>
      </c>
      <c r="G69" s="12">
        <v>42273</v>
      </c>
      <c r="H69" s="13">
        <v>42274</v>
      </c>
      <c r="J69" s="102"/>
      <c r="K69" s="102"/>
      <c r="L69" s="102"/>
      <c r="M69" s="102"/>
      <c r="N69" s="102"/>
      <c r="O69" s="102"/>
      <c r="P69" s="102"/>
      <c r="Q69" s="103"/>
      <c r="R69" s="105"/>
      <c r="S69" s="105"/>
      <c r="T69" s="105"/>
      <c r="U69" s="105"/>
      <c r="V69" s="105"/>
      <c r="W69" s="105"/>
      <c r="X69" s="105"/>
      <c r="Y69" s="103"/>
      <c r="Z69" s="102"/>
      <c r="AA69" s="102"/>
      <c r="AB69" s="102"/>
      <c r="AC69" s="102"/>
      <c r="AD69" s="102"/>
      <c r="AE69" s="102"/>
      <c r="AF69" s="102"/>
      <c r="AG69" s="103"/>
      <c r="AH69" s="105"/>
      <c r="AI69" s="105"/>
      <c r="AJ69" s="105"/>
      <c r="AK69" s="105"/>
      <c r="AL69" s="105"/>
      <c r="AM69" s="105"/>
      <c r="AN69" s="105"/>
      <c r="AO69" s="103"/>
      <c r="AP69" s="105"/>
      <c r="AQ69" s="105"/>
      <c r="AR69" s="105"/>
      <c r="AS69" s="105"/>
    </row>
    <row r="70" spans="1:45" x14ac:dyDescent="0.25">
      <c r="A70" s="19">
        <v>40</v>
      </c>
      <c r="B70" s="12">
        <v>42275</v>
      </c>
      <c r="C70" s="12">
        <v>42276</v>
      </c>
      <c r="D70" s="12">
        <v>42277</v>
      </c>
      <c r="E70" s="12">
        <v>42278</v>
      </c>
      <c r="F70" s="12">
        <v>42279</v>
      </c>
      <c r="G70" s="12">
        <v>42280</v>
      </c>
      <c r="H70" s="13">
        <v>42281</v>
      </c>
      <c r="J70" s="102"/>
      <c r="K70" s="102"/>
      <c r="L70" s="102"/>
      <c r="M70" s="102"/>
      <c r="N70" s="102"/>
      <c r="O70" s="102"/>
      <c r="P70" s="102"/>
      <c r="Q70" s="103"/>
      <c r="R70" s="105"/>
      <c r="S70" s="105"/>
      <c r="T70" s="105"/>
      <c r="U70" s="105"/>
      <c r="V70" s="105"/>
      <c r="W70" s="105"/>
      <c r="X70" s="105"/>
      <c r="Y70" s="103"/>
      <c r="Z70" s="102"/>
      <c r="AA70" s="102"/>
      <c r="AB70" s="102"/>
      <c r="AC70" s="102"/>
      <c r="AD70" s="102"/>
      <c r="AE70" s="102"/>
      <c r="AF70" s="102"/>
      <c r="AG70" s="103"/>
      <c r="AH70" s="105"/>
      <c r="AI70" s="105"/>
      <c r="AJ70" s="105"/>
      <c r="AK70" s="105"/>
      <c r="AL70" s="105"/>
      <c r="AM70" s="105"/>
      <c r="AN70" s="105"/>
      <c r="AO70" s="103"/>
      <c r="AP70" s="105"/>
      <c r="AQ70" s="105"/>
      <c r="AR70" s="105"/>
      <c r="AS70" s="105"/>
    </row>
    <row r="71" spans="1:45" x14ac:dyDescent="0.25">
      <c r="A71" s="19">
        <v>41</v>
      </c>
      <c r="B71" s="12">
        <v>42282</v>
      </c>
      <c r="C71" s="12">
        <v>42283</v>
      </c>
      <c r="D71" s="12">
        <v>42284</v>
      </c>
      <c r="E71" s="12">
        <v>42285</v>
      </c>
      <c r="F71" s="12">
        <v>42286</v>
      </c>
      <c r="G71" s="12">
        <v>42287</v>
      </c>
      <c r="H71" s="13">
        <v>42288</v>
      </c>
      <c r="J71" s="102"/>
      <c r="K71" s="102"/>
      <c r="L71" s="102"/>
      <c r="M71" s="102"/>
      <c r="N71" s="102"/>
      <c r="O71" s="102"/>
      <c r="P71" s="102"/>
      <c r="Q71" s="103"/>
      <c r="R71" s="105"/>
      <c r="S71" s="105"/>
      <c r="T71" s="105"/>
      <c r="U71" s="105"/>
      <c r="V71" s="105"/>
      <c r="W71" s="105"/>
      <c r="X71" s="105"/>
      <c r="Y71" s="103"/>
      <c r="Z71" s="102"/>
      <c r="AA71" s="102"/>
      <c r="AB71" s="102"/>
      <c r="AC71" s="102"/>
      <c r="AD71" s="102"/>
      <c r="AE71" s="102"/>
      <c r="AF71" s="102"/>
      <c r="AG71" s="103"/>
      <c r="AH71" s="105"/>
      <c r="AI71" s="105"/>
      <c r="AJ71" s="105"/>
      <c r="AK71" s="105"/>
      <c r="AL71" s="105"/>
      <c r="AM71" s="105"/>
      <c r="AN71" s="105"/>
      <c r="AO71" s="103"/>
      <c r="AP71" s="105"/>
      <c r="AQ71" s="105"/>
      <c r="AR71" s="105"/>
      <c r="AS71" s="105"/>
    </row>
    <row r="72" spans="1:45" x14ac:dyDescent="0.25">
      <c r="A72" s="19">
        <v>42</v>
      </c>
      <c r="B72" s="12">
        <v>42289</v>
      </c>
      <c r="C72" s="12">
        <v>42290</v>
      </c>
      <c r="D72" s="12">
        <v>42291</v>
      </c>
      <c r="E72" s="12">
        <v>42292</v>
      </c>
      <c r="F72" s="12">
        <v>42293</v>
      </c>
      <c r="G72" s="12">
        <v>42294</v>
      </c>
      <c r="H72" s="13">
        <v>42295</v>
      </c>
      <c r="J72" s="102"/>
      <c r="K72" s="102"/>
      <c r="L72" s="102"/>
      <c r="M72" s="102"/>
      <c r="N72" s="102"/>
      <c r="O72" s="102"/>
      <c r="P72" s="102"/>
      <c r="Q72" s="103"/>
      <c r="R72" s="105"/>
      <c r="S72" s="105"/>
      <c r="T72" s="105"/>
      <c r="U72" s="105"/>
      <c r="V72" s="105"/>
      <c r="W72" s="105"/>
      <c r="X72" s="105"/>
      <c r="Y72" s="103"/>
      <c r="Z72" s="102"/>
      <c r="AA72" s="102"/>
      <c r="AB72" s="102"/>
      <c r="AC72" s="102"/>
      <c r="AD72" s="102"/>
      <c r="AE72" s="102"/>
      <c r="AF72" s="102"/>
      <c r="AG72" s="103"/>
      <c r="AH72" s="105"/>
      <c r="AI72" s="105"/>
      <c r="AJ72" s="105"/>
      <c r="AK72" s="105"/>
      <c r="AL72" s="105"/>
      <c r="AM72" s="105"/>
      <c r="AN72" s="105"/>
      <c r="AO72" s="103"/>
      <c r="AP72" s="105"/>
      <c r="AQ72" s="105"/>
      <c r="AR72" s="105"/>
      <c r="AS72" s="105"/>
    </row>
    <row r="73" spans="1:45" x14ac:dyDescent="0.25">
      <c r="A73" s="19">
        <v>43</v>
      </c>
      <c r="B73" s="12">
        <v>42296</v>
      </c>
      <c r="C73" s="12">
        <v>42297</v>
      </c>
      <c r="D73" s="12">
        <v>42298</v>
      </c>
      <c r="E73" s="12">
        <v>42299</v>
      </c>
      <c r="F73" s="12">
        <v>42300</v>
      </c>
      <c r="G73" s="12">
        <v>42301</v>
      </c>
      <c r="H73" s="13">
        <v>42302</v>
      </c>
      <c r="J73" s="102"/>
      <c r="K73" s="102"/>
      <c r="L73" s="102"/>
      <c r="M73" s="102"/>
      <c r="N73" s="102"/>
      <c r="O73" s="102"/>
      <c r="P73" s="102"/>
      <c r="Q73" s="103"/>
      <c r="R73" s="105"/>
      <c r="S73" s="105"/>
      <c r="T73" s="105"/>
      <c r="U73" s="105"/>
      <c r="V73" s="105"/>
      <c r="W73" s="105"/>
      <c r="X73" s="105"/>
      <c r="Y73" s="103"/>
      <c r="Z73" s="102"/>
      <c r="AA73" s="102"/>
      <c r="AB73" s="102"/>
      <c r="AC73" s="102"/>
      <c r="AD73" s="102"/>
      <c r="AE73" s="102"/>
      <c r="AF73" s="102"/>
      <c r="AG73" s="103"/>
      <c r="AH73" s="105"/>
      <c r="AI73" s="105"/>
      <c r="AJ73" s="105"/>
      <c r="AK73" s="105"/>
      <c r="AL73" s="105"/>
      <c r="AM73" s="105"/>
      <c r="AN73" s="105"/>
      <c r="AO73" s="103"/>
      <c r="AP73" s="105"/>
      <c r="AQ73" s="105"/>
      <c r="AR73" s="105"/>
      <c r="AS73" s="105"/>
    </row>
    <row r="74" spans="1:45" x14ac:dyDescent="0.25">
      <c r="A74" s="19">
        <v>44</v>
      </c>
      <c r="B74" s="12">
        <v>42303</v>
      </c>
      <c r="C74" s="12">
        <v>42304</v>
      </c>
      <c r="D74" s="12">
        <v>42305</v>
      </c>
      <c r="E74" s="12">
        <v>42306</v>
      </c>
      <c r="F74" s="12">
        <v>42307</v>
      </c>
      <c r="G74" s="12">
        <v>42308</v>
      </c>
      <c r="H74" s="13">
        <v>42309</v>
      </c>
      <c r="J74" s="102"/>
      <c r="K74" s="102"/>
      <c r="L74" s="102"/>
      <c r="M74" s="102"/>
      <c r="N74" s="102"/>
      <c r="O74" s="102"/>
      <c r="P74" s="102"/>
      <c r="Q74" s="103"/>
      <c r="R74" s="105"/>
      <c r="S74" s="105"/>
      <c r="T74" s="105"/>
      <c r="U74" s="105"/>
      <c r="V74" s="105"/>
      <c r="W74" s="105"/>
      <c r="X74" s="105"/>
      <c r="Y74" s="103"/>
      <c r="Z74" s="102"/>
      <c r="AA74" s="102"/>
      <c r="AB74" s="102"/>
      <c r="AC74" s="102"/>
      <c r="AD74" s="102"/>
      <c r="AE74" s="102"/>
      <c r="AF74" s="102"/>
      <c r="AG74" s="103"/>
      <c r="AH74" s="105"/>
      <c r="AI74" s="105"/>
      <c r="AJ74" s="105"/>
      <c r="AK74" s="105"/>
      <c r="AL74" s="105"/>
      <c r="AM74" s="105"/>
      <c r="AN74" s="105"/>
      <c r="AO74" s="103"/>
      <c r="AP74" s="105"/>
      <c r="AQ74" s="105"/>
      <c r="AR74" s="105"/>
      <c r="AS74" s="105"/>
    </row>
    <row r="75" spans="1:45" x14ac:dyDescent="0.25">
      <c r="A75" s="19">
        <v>45</v>
      </c>
      <c r="B75" s="12">
        <v>42310</v>
      </c>
      <c r="C75" s="12">
        <v>42311</v>
      </c>
      <c r="D75" s="12">
        <v>42312</v>
      </c>
      <c r="E75" s="12">
        <v>42313</v>
      </c>
      <c r="F75" s="12">
        <v>42314</v>
      </c>
      <c r="G75" s="12">
        <v>42315</v>
      </c>
      <c r="H75" s="13">
        <v>42316</v>
      </c>
      <c r="J75" s="102"/>
      <c r="K75" s="102"/>
      <c r="L75" s="102"/>
      <c r="M75" s="102"/>
      <c r="N75" s="102"/>
      <c r="O75" s="102"/>
      <c r="P75" s="102"/>
      <c r="Q75" s="103"/>
      <c r="R75" s="105"/>
      <c r="S75" s="105"/>
      <c r="T75" s="105"/>
      <c r="U75" s="105"/>
      <c r="V75" s="105"/>
      <c r="W75" s="105"/>
      <c r="X75" s="105"/>
      <c r="Y75" s="103"/>
      <c r="Z75" s="102"/>
      <c r="AA75" s="102"/>
      <c r="AB75" s="102"/>
      <c r="AC75" s="102"/>
      <c r="AD75" s="102"/>
      <c r="AE75" s="102"/>
      <c r="AF75" s="102"/>
      <c r="AG75" s="103"/>
      <c r="AH75" s="105"/>
      <c r="AI75" s="105"/>
      <c r="AJ75" s="105"/>
      <c r="AK75" s="105"/>
      <c r="AL75" s="105"/>
      <c r="AM75" s="105"/>
      <c r="AN75" s="105"/>
      <c r="AO75" s="103"/>
      <c r="AP75" s="105"/>
      <c r="AQ75" s="105"/>
      <c r="AR75" s="105"/>
      <c r="AS75" s="105"/>
    </row>
    <row r="76" spans="1:45" x14ac:dyDescent="0.25">
      <c r="A76" s="19">
        <v>46</v>
      </c>
      <c r="B76" s="12">
        <v>42317</v>
      </c>
      <c r="C76" s="12">
        <v>42318</v>
      </c>
      <c r="D76" s="12">
        <v>42319</v>
      </c>
      <c r="E76" s="12">
        <v>42320</v>
      </c>
      <c r="F76" s="12">
        <v>42321</v>
      </c>
      <c r="G76" s="12">
        <v>42322</v>
      </c>
      <c r="H76" s="13">
        <v>42323</v>
      </c>
      <c r="J76" s="102"/>
      <c r="K76" s="102"/>
      <c r="L76" s="102"/>
      <c r="M76" s="102"/>
      <c r="N76" s="102"/>
      <c r="O76" s="102"/>
      <c r="P76" s="102"/>
      <c r="Q76" s="103"/>
      <c r="R76" s="105"/>
      <c r="S76" s="105"/>
      <c r="T76" s="105"/>
      <c r="U76" s="105"/>
      <c r="V76" s="105"/>
      <c r="W76" s="105"/>
      <c r="X76" s="105"/>
      <c r="Y76" s="103"/>
      <c r="Z76" s="102"/>
      <c r="AA76" s="102"/>
      <c r="AB76" s="102"/>
      <c r="AC76" s="102"/>
      <c r="AD76" s="102"/>
      <c r="AE76" s="102"/>
      <c r="AF76" s="102"/>
      <c r="AG76" s="103"/>
      <c r="AH76" s="105"/>
      <c r="AI76" s="105"/>
      <c r="AJ76" s="105"/>
      <c r="AK76" s="105"/>
      <c r="AL76" s="105"/>
      <c r="AM76" s="105"/>
      <c r="AN76" s="105"/>
      <c r="AO76" s="103"/>
      <c r="AP76" s="105"/>
      <c r="AQ76" s="105"/>
      <c r="AR76" s="105"/>
      <c r="AS76" s="105"/>
    </row>
    <row r="77" spans="1:45" x14ac:dyDescent="0.25">
      <c r="A77" s="19">
        <v>47</v>
      </c>
      <c r="B77" s="12">
        <v>42324</v>
      </c>
      <c r="C77" s="12">
        <v>42325</v>
      </c>
      <c r="D77" s="12">
        <v>42326</v>
      </c>
      <c r="E77" s="12">
        <v>42327</v>
      </c>
      <c r="F77" s="12">
        <v>42328</v>
      </c>
      <c r="G77" s="12">
        <v>42329</v>
      </c>
      <c r="H77" s="13">
        <v>42330</v>
      </c>
      <c r="J77" s="102"/>
      <c r="K77" s="102"/>
      <c r="L77" s="102"/>
      <c r="M77" s="102"/>
      <c r="N77" s="102"/>
      <c r="O77" s="102"/>
      <c r="P77" s="102"/>
      <c r="Q77" s="103"/>
      <c r="R77" s="105"/>
      <c r="S77" s="105"/>
      <c r="T77" s="105"/>
      <c r="U77" s="105"/>
      <c r="V77" s="105"/>
      <c r="W77" s="105"/>
      <c r="X77" s="105"/>
      <c r="Y77" s="103"/>
      <c r="Z77" s="102"/>
      <c r="AA77" s="102"/>
      <c r="AB77" s="102"/>
      <c r="AC77" s="102"/>
      <c r="AD77" s="102"/>
      <c r="AE77" s="102"/>
      <c r="AF77" s="102"/>
      <c r="AG77" s="103"/>
      <c r="AH77" s="105"/>
      <c r="AI77" s="105"/>
      <c r="AJ77" s="105"/>
      <c r="AK77" s="105"/>
      <c r="AL77" s="105"/>
      <c r="AM77" s="105"/>
      <c r="AN77" s="105"/>
      <c r="AO77" s="103"/>
      <c r="AP77" s="105"/>
      <c r="AQ77" s="105"/>
      <c r="AR77" s="105"/>
      <c r="AS77" s="105"/>
    </row>
    <row r="78" spans="1:45" x14ac:dyDescent="0.25">
      <c r="A78" s="19">
        <v>48</v>
      </c>
      <c r="B78" s="12">
        <v>42331</v>
      </c>
      <c r="C78" s="12">
        <v>42332</v>
      </c>
      <c r="D78" s="12">
        <v>42333</v>
      </c>
      <c r="E78" s="12">
        <v>42334</v>
      </c>
      <c r="F78" s="12">
        <v>42335</v>
      </c>
      <c r="G78" s="12">
        <v>42336</v>
      </c>
      <c r="H78" s="13">
        <v>42337</v>
      </c>
      <c r="J78" s="102"/>
      <c r="K78" s="102"/>
      <c r="L78" s="102"/>
      <c r="M78" s="102"/>
      <c r="N78" s="102"/>
      <c r="O78" s="102"/>
      <c r="P78" s="102"/>
      <c r="Q78" s="103"/>
      <c r="R78" s="105"/>
      <c r="S78" s="105"/>
      <c r="T78" s="105"/>
      <c r="U78" s="105"/>
      <c r="V78" s="105"/>
      <c r="W78" s="105"/>
      <c r="X78" s="105"/>
      <c r="Y78" s="103"/>
      <c r="Z78" s="102"/>
      <c r="AA78" s="102"/>
      <c r="AB78" s="102"/>
      <c r="AC78" s="102"/>
      <c r="AD78" s="102"/>
      <c r="AE78" s="102"/>
      <c r="AF78" s="102"/>
      <c r="AG78" s="103"/>
      <c r="AH78" s="105"/>
      <c r="AI78" s="105"/>
      <c r="AJ78" s="105"/>
      <c r="AK78" s="105"/>
      <c r="AL78" s="105"/>
      <c r="AM78" s="105"/>
      <c r="AN78" s="105"/>
      <c r="AO78" s="103"/>
      <c r="AP78" s="105"/>
      <c r="AQ78" s="105"/>
      <c r="AR78" s="105"/>
      <c r="AS78" s="105"/>
    </row>
    <row r="79" spans="1:45" x14ac:dyDescent="0.25">
      <c r="A79" s="19">
        <v>49</v>
      </c>
      <c r="B79" s="12">
        <v>42338</v>
      </c>
      <c r="C79" s="12">
        <v>42339</v>
      </c>
      <c r="D79" s="12">
        <v>42340</v>
      </c>
      <c r="E79" s="12">
        <v>42341</v>
      </c>
      <c r="F79" s="12">
        <v>42342</v>
      </c>
      <c r="G79" s="12">
        <v>42343</v>
      </c>
      <c r="H79" s="13">
        <v>42344</v>
      </c>
      <c r="J79" s="102"/>
      <c r="K79" s="102"/>
      <c r="L79" s="102"/>
      <c r="M79" s="102"/>
      <c r="N79" s="102"/>
      <c r="O79" s="102"/>
      <c r="P79" s="102"/>
      <c r="Q79" s="103"/>
      <c r="R79" s="105"/>
      <c r="S79" s="105"/>
      <c r="T79" s="105"/>
      <c r="U79" s="105"/>
      <c r="V79" s="105"/>
      <c r="W79" s="105"/>
      <c r="X79" s="105"/>
      <c r="Y79" s="103"/>
      <c r="Z79" s="102"/>
      <c r="AA79" s="102"/>
      <c r="AB79" s="102"/>
      <c r="AC79" s="102"/>
      <c r="AD79" s="102"/>
      <c r="AE79" s="102"/>
      <c r="AF79" s="102"/>
      <c r="AG79" s="103"/>
      <c r="AH79" s="105"/>
      <c r="AI79" s="105"/>
      <c r="AJ79" s="105"/>
      <c r="AK79" s="105"/>
      <c r="AL79" s="105"/>
      <c r="AM79" s="105"/>
      <c r="AN79" s="105"/>
      <c r="AO79" s="103"/>
      <c r="AP79" s="105"/>
      <c r="AQ79" s="105"/>
      <c r="AR79" s="105"/>
      <c r="AS79" s="105"/>
    </row>
    <row r="80" spans="1:45" x14ac:dyDescent="0.25">
      <c r="A80" s="19">
        <v>50</v>
      </c>
      <c r="B80" s="12">
        <v>42345</v>
      </c>
      <c r="C80" s="12">
        <v>42346</v>
      </c>
      <c r="D80" s="12">
        <v>42347</v>
      </c>
      <c r="E80" s="12">
        <v>42348</v>
      </c>
      <c r="F80" s="12">
        <v>42349</v>
      </c>
      <c r="G80" s="12">
        <v>42350</v>
      </c>
      <c r="H80" s="13">
        <v>42351</v>
      </c>
      <c r="J80" s="102"/>
      <c r="K80" s="102"/>
      <c r="L80" s="102"/>
      <c r="M80" s="102"/>
      <c r="N80" s="102"/>
      <c r="O80" s="102"/>
      <c r="P80" s="102"/>
      <c r="Q80" s="103"/>
      <c r="R80" s="105"/>
      <c r="S80" s="105"/>
      <c r="T80" s="105"/>
      <c r="U80" s="105"/>
      <c r="V80" s="105"/>
      <c r="W80" s="105"/>
      <c r="X80" s="105"/>
      <c r="Y80" s="103"/>
      <c r="Z80" s="102"/>
      <c r="AA80" s="102"/>
      <c r="AB80" s="102"/>
      <c r="AC80" s="102"/>
      <c r="AD80" s="102"/>
      <c r="AE80" s="102"/>
      <c r="AF80" s="102"/>
      <c r="AG80" s="103"/>
      <c r="AH80" s="105"/>
      <c r="AI80" s="105"/>
      <c r="AJ80" s="105"/>
      <c r="AK80" s="105"/>
      <c r="AL80" s="105"/>
      <c r="AM80" s="105"/>
      <c r="AN80" s="105"/>
      <c r="AO80" s="103"/>
      <c r="AP80" s="105"/>
      <c r="AQ80" s="105"/>
      <c r="AR80" s="105"/>
      <c r="AS80" s="105"/>
    </row>
    <row r="81" spans="1:45" x14ac:dyDescent="0.25">
      <c r="A81" s="19">
        <v>51</v>
      </c>
      <c r="B81" s="12">
        <v>42352</v>
      </c>
      <c r="C81" s="12">
        <v>42353</v>
      </c>
      <c r="D81" s="12">
        <v>42354</v>
      </c>
      <c r="E81" s="12">
        <v>42355</v>
      </c>
      <c r="F81" s="12">
        <v>42356</v>
      </c>
      <c r="G81" s="12">
        <v>42357</v>
      </c>
      <c r="H81" s="13">
        <v>42358</v>
      </c>
      <c r="J81" s="102"/>
      <c r="K81" s="102"/>
      <c r="L81" s="102"/>
      <c r="M81" s="102"/>
      <c r="N81" s="102"/>
      <c r="O81" s="102"/>
      <c r="P81" s="102"/>
      <c r="Q81" s="103"/>
      <c r="R81" s="105"/>
      <c r="S81" s="105"/>
      <c r="T81" s="105"/>
      <c r="U81" s="105"/>
      <c r="V81" s="105"/>
      <c r="W81" s="105"/>
      <c r="X81" s="105"/>
      <c r="Y81" s="103"/>
      <c r="Z81" s="102"/>
      <c r="AA81" s="102"/>
      <c r="AB81" s="102"/>
      <c r="AC81" s="102"/>
      <c r="AD81" s="102"/>
      <c r="AE81" s="102"/>
      <c r="AF81" s="102"/>
      <c r="AG81" s="103"/>
      <c r="AH81" s="105"/>
      <c r="AI81" s="105"/>
      <c r="AJ81" s="105"/>
      <c r="AK81" s="105"/>
      <c r="AL81" s="105"/>
      <c r="AM81" s="105"/>
      <c r="AN81" s="105"/>
      <c r="AO81" s="103"/>
      <c r="AP81" s="105"/>
      <c r="AQ81" s="105"/>
      <c r="AR81" s="105"/>
      <c r="AS81" s="105"/>
    </row>
    <row r="82" spans="1:45" x14ac:dyDescent="0.25">
      <c r="A82" s="19">
        <v>52</v>
      </c>
      <c r="B82" s="12">
        <v>42359</v>
      </c>
      <c r="C82" s="12">
        <v>42360</v>
      </c>
      <c r="D82" s="12">
        <v>42361</v>
      </c>
      <c r="E82" s="12">
        <v>42362</v>
      </c>
      <c r="F82" s="12">
        <v>42363</v>
      </c>
      <c r="G82" s="12">
        <v>42364</v>
      </c>
      <c r="H82" s="13">
        <v>42365</v>
      </c>
      <c r="J82" s="102"/>
      <c r="K82" s="102"/>
      <c r="L82" s="102"/>
      <c r="M82" s="102"/>
      <c r="N82" s="102"/>
      <c r="O82" s="102"/>
      <c r="P82" s="102"/>
      <c r="Q82" s="103"/>
      <c r="R82" s="105"/>
      <c r="S82" s="105"/>
      <c r="T82" s="105"/>
      <c r="U82" s="105"/>
      <c r="V82" s="105"/>
      <c r="W82" s="105"/>
      <c r="X82" s="105"/>
      <c r="Y82" s="103"/>
      <c r="Z82" s="102"/>
      <c r="AA82" s="102"/>
      <c r="AB82" s="102"/>
      <c r="AC82" s="102"/>
      <c r="AD82" s="102"/>
      <c r="AE82" s="102"/>
      <c r="AF82" s="102"/>
      <c r="AG82" s="103"/>
      <c r="AH82" s="105"/>
      <c r="AI82" s="105"/>
      <c r="AJ82" s="105"/>
      <c r="AK82" s="105"/>
      <c r="AL82" s="105"/>
      <c r="AM82" s="105"/>
      <c r="AN82" s="105"/>
      <c r="AO82" s="103"/>
      <c r="AP82" s="105"/>
      <c r="AQ82" s="105"/>
      <c r="AR82" s="105"/>
      <c r="AS82" s="105"/>
    </row>
    <row r="83" spans="1:45" x14ac:dyDescent="0.25">
      <c r="A83" s="20">
        <v>53</v>
      </c>
      <c r="B83" s="14">
        <v>42366</v>
      </c>
      <c r="C83" s="14">
        <v>42367</v>
      </c>
      <c r="D83" s="14">
        <v>42368</v>
      </c>
      <c r="E83" s="14">
        <v>42369</v>
      </c>
      <c r="F83" s="14">
        <v>42370</v>
      </c>
      <c r="G83" s="14">
        <v>42371</v>
      </c>
      <c r="H83" s="15">
        <v>42372</v>
      </c>
      <c r="J83" s="102"/>
      <c r="K83" s="102"/>
      <c r="L83" s="102"/>
      <c r="M83" s="102"/>
      <c r="N83" s="102"/>
      <c r="O83" s="102"/>
      <c r="P83" s="102"/>
      <c r="Q83" s="103"/>
      <c r="R83" s="105"/>
      <c r="S83" s="105"/>
      <c r="T83" s="105"/>
      <c r="U83" s="105"/>
      <c r="V83" s="105"/>
      <c r="W83" s="105"/>
      <c r="X83" s="105"/>
      <c r="Y83" s="103"/>
      <c r="Z83" s="102"/>
      <c r="AA83" s="102"/>
      <c r="AB83" s="102"/>
      <c r="AC83" s="102"/>
      <c r="AD83" s="102"/>
      <c r="AE83" s="102"/>
      <c r="AF83" s="102"/>
      <c r="AG83" s="103"/>
      <c r="AH83" s="105"/>
      <c r="AI83" s="105"/>
      <c r="AJ83" s="105"/>
      <c r="AK83" s="105"/>
      <c r="AL83" s="105"/>
      <c r="AM83" s="105"/>
      <c r="AN83" s="105"/>
      <c r="AO83" s="103"/>
      <c r="AP83" s="105"/>
      <c r="AQ83" s="105"/>
      <c r="AR83" s="105"/>
      <c r="AS83" s="105"/>
    </row>
    <row r="84" spans="1:45" x14ac:dyDescent="0.25">
      <c r="J84" s="102"/>
      <c r="K84" s="102"/>
      <c r="L84" s="102"/>
      <c r="M84" s="102"/>
      <c r="N84" s="102"/>
      <c r="O84" s="102"/>
      <c r="P84" s="102"/>
      <c r="Q84" s="103"/>
      <c r="R84" s="105"/>
      <c r="S84" s="105"/>
      <c r="T84" s="105"/>
      <c r="U84" s="105"/>
      <c r="V84" s="105"/>
      <c r="W84" s="105"/>
      <c r="X84" s="105"/>
      <c r="Y84" s="103"/>
      <c r="Z84" s="102"/>
      <c r="AA84" s="102"/>
      <c r="AB84" s="102"/>
      <c r="AC84" s="102"/>
      <c r="AD84" s="102"/>
      <c r="AE84" s="102"/>
      <c r="AF84" s="102"/>
      <c r="AG84" s="103"/>
      <c r="AH84" s="105"/>
      <c r="AI84" s="105"/>
      <c r="AJ84" s="105"/>
      <c r="AK84" s="105"/>
      <c r="AL84" s="105"/>
      <c r="AM84" s="105"/>
      <c r="AN84" s="105"/>
      <c r="AO84" s="103"/>
      <c r="AP84" s="105"/>
      <c r="AQ84" s="105"/>
      <c r="AR84" s="105"/>
      <c r="AS84" s="105"/>
    </row>
    <row r="85" spans="1:45" x14ac:dyDescent="0.25">
      <c r="A85" s="213" t="s">
        <v>44</v>
      </c>
      <c r="B85" s="214"/>
      <c r="C85" s="214"/>
      <c r="D85" s="214"/>
      <c r="E85" s="214"/>
      <c r="F85" s="214"/>
      <c r="G85" s="214"/>
      <c r="H85" s="215"/>
      <c r="J85" s="102"/>
      <c r="K85" s="102"/>
      <c r="L85" s="102"/>
      <c r="M85" s="102"/>
      <c r="N85" s="102"/>
      <c r="O85" s="102"/>
      <c r="P85" s="102"/>
      <c r="Q85" s="103"/>
      <c r="R85" s="105"/>
      <c r="S85" s="105"/>
      <c r="T85" s="105"/>
      <c r="U85" s="105"/>
      <c r="V85" s="105"/>
      <c r="W85" s="105"/>
      <c r="X85" s="105"/>
      <c r="Y85" s="103"/>
      <c r="Z85" s="102"/>
      <c r="AA85" s="102"/>
      <c r="AB85" s="102"/>
      <c r="AC85" s="102"/>
      <c r="AD85" s="102"/>
      <c r="AE85" s="102"/>
      <c r="AF85" s="102"/>
      <c r="AG85" s="103"/>
      <c r="AH85" s="105"/>
      <c r="AI85" s="105"/>
      <c r="AJ85" s="105"/>
      <c r="AK85" s="105"/>
      <c r="AL85" s="105"/>
      <c r="AM85" s="105"/>
      <c r="AN85" s="105"/>
      <c r="AO85" s="103"/>
      <c r="AP85" s="105"/>
      <c r="AQ85" s="105"/>
      <c r="AR85" s="105"/>
      <c r="AS85" s="105"/>
    </row>
    <row r="86" spans="1:45" x14ac:dyDescent="0.25">
      <c r="A86" s="16" t="s">
        <v>15</v>
      </c>
      <c r="B86" s="17" t="s">
        <v>45</v>
      </c>
      <c r="C86" s="17" t="s">
        <v>46</v>
      </c>
      <c r="D86" s="17" t="s">
        <v>47</v>
      </c>
      <c r="E86" s="17" t="s">
        <v>48</v>
      </c>
      <c r="F86" s="17" t="s">
        <v>49</v>
      </c>
      <c r="G86" s="17" t="s">
        <v>50</v>
      </c>
      <c r="H86" s="18" t="s">
        <v>57</v>
      </c>
      <c r="J86" s="102"/>
      <c r="K86" s="102"/>
      <c r="L86" s="102"/>
      <c r="M86" s="102"/>
      <c r="N86" s="102"/>
      <c r="O86" s="102"/>
      <c r="P86" s="102"/>
      <c r="Q86" s="103"/>
      <c r="R86" s="105"/>
      <c r="S86" s="105"/>
      <c r="T86" s="105"/>
      <c r="U86" s="105"/>
      <c r="V86" s="105"/>
      <c r="W86" s="105"/>
      <c r="X86" s="105"/>
      <c r="Y86" s="103"/>
      <c r="Z86" s="102"/>
      <c r="AA86" s="102"/>
      <c r="AB86" s="102"/>
      <c r="AC86" s="102"/>
      <c r="AD86" s="102"/>
      <c r="AE86" s="102"/>
      <c r="AF86" s="102"/>
      <c r="AG86" s="103"/>
      <c r="AH86" s="105"/>
      <c r="AI86" s="105"/>
      <c r="AJ86" s="105"/>
      <c r="AK86" s="105"/>
      <c r="AL86" s="105"/>
      <c r="AM86" s="105"/>
      <c r="AN86" s="105"/>
      <c r="AO86" s="103"/>
      <c r="AP86" s="105"/>
      <c r="AQ86" s="105"/>
      <c r="AR86" s="105"/>
      <c r="AS86" s="105"/>
    </row>
    <row r="87" spans="1:45" x14ac:dyDescent="0.25">
      <c r="A87" s="19">
        <v>1</v>
      </c>
      <c r="B87" s="12">
        <v>42002</v>
      </c>
      <c r="C87" s="12">
        <v>42008</v>
      </c>
      <c r="D87" s="12">
        <v>41988</v>
      </c>
      <c r="E87" s="12">
        <v>41995</v>
      </c>
      <c r="F87" s="12">
        <v>42002</v>
      </c>
      <c r="G87" s="12">
        <v>41995</v>
      </c>
      <c r="H87" s="13"/>
      <c r="J87" s="102"/>
      <c r="K87" s="102"/>
      <c r="L87" s="102"/>
      <c r="M87" s="102"/>
      <c r="N87" s="102"/>
      <c r="O87" s="102"/>
      <c r="P87" s="102"/>
      <c r="Q87" s="103"/>
      <c r="R87" s="105"/>
      <c r="S87" s="105"/>
      <c r="T87" s="105"/>
      <c r="U87" s="105"/>
      <c r="V87" s="105"/>
      <c r="W87" s="105"/>
      <c r="X87" s="105"/>
      <c r="Y87" s="103"/>
      <c r="Z87" s="102"/>
      <c r="AA87" s="102"/>
      <c r="AB87" s="102"/>
      <c r="AC87" s="102"/>
      <c r="AD87" s="102"/>
      <c r="AE87" s="102"/>
      <c r="AF87" s="102"/>
      <c r="AG87" s="103"/>
      <c r="AH87" s="105"/>
      <c r="AI87" s="105"/>
      <c r="AJ87" s="105"/>
      <c r="AK87" s="105"/>
      <c r="AL87" s="105"/>
      <c r="AM87" s="105"/>
      <c r="AN87" s="105"/>
      <c r="AO87" s="103"/>
      <c r="AP87" s="105"/>
      <c r="AQ87" s="105"/>
      <c r="AR87" s="105"/>
      <c r="AS87" s="105"/>
    </row>
    <row r="88" spans="1:45" x14ac:dyDescent="0.25">
      <c r="A88" s="19">
        <v>2</v>
      </c>
      <c r="B88" s="12">
        <v>42009</v>
      </c>
      <c r="C88" s="12">
        <v>42015</v>
      </c>
      <c r="D88" s="12">
        <v>41995</v>
      </c>
      <c r="E88" s="12">
        <v>42002</v>
      </c>
      <c r="F88" s="12">
        <v>42009</v>
      </c>
      <c r="G88" s="12">
        <v>42002</v>
      </c>
      <c r="H88" s="13"/>
      <c r="J88" s="102"/>
      <c r="K88" s="102"/>
      <c r="L88" s="102"/>
      <c r="M88" s="102"/>
      <c r="N88" s="102"/>
      <c r="O88" s="102"/>
      <c r="P88" s="102"/>
      <c r="Q88" s="103"/>
      <c r="R88" s="105"/>
      <c r="S88" s="105"/>
      <c r="T88" s="105"/>
      <c r="U88" s="105"/>
      <c r="V88" s="105"/>
      <c r="W88" s="105"/>
      <c r="X88" s="105"/>
      <c r="Y88" s="103"/>
      <c r="Z88" s="102"/>
      <c r="AA88" s="102"/>
      <c r="AB88" s="102"/>
      <c r="AC88" s="102"/>
      <c r="AD88" s="102"/>
      <c r="AE88" s="102"/>
      <c r="AF88" s="102"/>
      <c r="AG88" s="103"/>
      <c r="AH88" s="105"/>
      <c r="AI88" s="105"/>
      <c r="AJ88" s="105"/>
      <c r="AK88" s="105"/>
      <c r="AL88" s="105"/>
      <c r="AM88" s="105"/>
      <c r="AN88" s="105"/>
      <c r="AO88" s="103"/>
      <c r="AP88" s="105"/>
      <c r="AQ88" s="105"/>
      <c r="AR88" s="105"/>
      <c r="AS88" s="105"/>
    </row>
    <row r="89" spans="1:45" x14ac:dyDescent="0.25">
      <c r="A89" s="19">
        <v>3</v>
      </c>
      <c r="B89" s="12">
        <v>42016</v>
      </c>
      <c r="C89" s="12">
        <v>42022</v>
      </c>
      <c r="D89" s="12">
        <v>42002</v>
      </c>
      <c r="E89" s="12">
        <v>42009</v>
      </c>
      <c r="F89" s="12">
        <v>42016</v>
      </c>
      <c r="G89" s="12">
        <v>42009</v>
      </c>
      <c r="H89" s="13"/>
      <c r="J89" s="102"/>
      <c r="K89" s="102"/>
      <c r="L89" s="102"/>
      <c r="M89" s="102"/>
      <c r="N89" s="102"/>
      <c r="O89" s="102"/>
      <c r="P89" s="102"/>
      <c r="Q89" s="103"/>
      <c r="R89" s="105"/>
      <c r="S89" s="105"/>
      <c r="T89" s="105"/>
      <c r="U89" s="105"/>
      <c r="V89" s="105"/>
      <c r="W89" s="105"/>
      <c r="X89" s="105"/>
      <c r="Y89" s="103"/>
      <c r="Z89" s="102"/>
      <c r="AA89" s="102"/>
      <c r="AB89" s="102"/>
      <c r="AC89" s="102"/>
      <c r="AD89" s="102"/>
      <c r="AE89" s="102"/>
      <c r="AF89" s="102"/>
      <c r="AG89" s="103"/>
      <c r="AH89" s="105"/>
      <c r="AI89" s="105"/>
      <c r="AJ89" s="105"/>
      <c r="AK89" s="105"/>
      <c r="AL89" s="105"/>
      <c r="AM89" s="105"/>
      <c r="AN89" s="105"/>
      <c r="AO89" s="103"/>
      <c r="AP89" s="105"/>
      <c r="AQ89" s="105"/>
      <c r="AR89" s="105"/>
      <c r="AS89" s="105"/>
    </row>
    <row r="90" spans="1:45" x14ac:dyDescent="0.25">
      <c r="A90" s="19">
        <v>4</v>
      </c>
      <c r="B90" s="12">
        <v>42023</v>
      </c>
      <c r="C90" s="12">
        <v>42029</v>
      </c>
      <c r="D90" s="12">
        <v>42009</v>
      </c>
      <c r="E90" s="12">
        <v>42016</v>
      </c>
      <c r="F90" s="12">
        <v>42023</v>
      </c>
      <c r="G90" s="12">
        <v>42016</v>
      </c>
      <c r="H90" s="13"/>
      <c r="J90" s="102"/>
      <c r="K90" s="102"/>
      <c r="L90" s="102"/>
      <c r="M90" s="102"/>
      <c r="N90" s="102"/>
      <c r="O90" s="102"/>
      <c r="P90" s="102"/>
      <c r="Q90" s="103"/>
      <c r="R90" s="105"/>
      <c r="S90" s="105"/>
      <c r="T90" s="105"/>
      <c r="U90" s="105"/>
      <c r="V90" s="105"/>
      <c r="W90" s="105"/>
      <c r="X90" s="105"/>
      <c r="Y90" s="103"/>
      <c r="Z90" s="102"/>
      <c r="AA90" s="102"/>
      <c r="AB90" s="102"/>
      <c r="AC90" s="102"/>
      <c r="AD90" s="102"/>
      <c r="AE90" s="102"/>
      <c r="AF90" s="102"/>
      <c r="AG90" s="103"/>
      <c r="AH90" s="105"/>
      <c r="AI90" s="105"/>
      <c r="AJ90" s="105"/>
      <c r="AK90" s="105"/>
      <c r="AL90" s="105"/>
      <c r="AM90" s="105"/>
      <c r="AN90" s="105"/>
      <c r="AO90" s="103"/>
      <c r="AP90" s="105"/>
      <c r="AQ90" s="105"/>
      <c r="AR90" s="105"/>
      <c r="AS90" s="105"/>
    </row>
    <row r="91" spans="1:45" x14ac:dyDescent="0.25">
      <c r="A91" s="19">
        <v>5</v>
      </c>
      <c r="B91" s="12">
        <v>42030</v>
      </c>
      <c r="C91" s="12">
        <v>42036</v>
      </c>
      <c r="D91" s="12">
        <v>42016</v>
      </c>
      <c r="E91" s="12">
        <v>42023</v>
      </c>
      <c r="F91" s="12">
        <v>42030</v>
      </c>
      <c r="G91" s="12">
        <v>42023</v>
      </c>
      <c r="H91" s="13"/>
      <c r="J91" s="102"/>
      <c r="K91" s="102"/>
      <c r="L91" s="102"/>
      <c r="M91" s="102"/>
      <c r="N91" s="102"/>
      <c r="O91" s="102"/>
      <c r="P91" s="102"/>
      <c r="Q91" s="103"/>
      <c r="R91" s="105"/>
      <c r="S91" s="105"/>
      <c r="T91" s="105"/>
      <c r="U91" s="105"/>
      <c r="V91" s="105"/>
      <c r="W91" s="105"/>
      <c r="X91" s="105"/>
      <c r="Y91" s="103"/>
      <c r="Z91" s="102"/>
      <c r="AA91" s="102"/>
      <c r="AB91" s="102"/>
      <c r="AC91" s="102"/>
      <c r="AD91" s="102"/>
      <c r="AE91" s="102"/>
      <c r="AF91" s="102"/>
      <c r="AG91" s="103"/>
      <c r="AH91" s="105"/>
      <c r="AI91" s="105"/>
      <c r="AJ91" s="105"/>
      <c r="AK91" s="105"/>
      <c r="AL91" s="105"/>
      <c r="AM91" s="105"/>
      <c r="AN91" s="105"/>
      <c r="AO91" s="103"/>
      <c r="AP91" s="105"/>
      <c r="AQ91" s="105"/>
      <c r="AR91" s="105"/>
      <c r="AS91" s="105"/>
    </row>
    <row r="92" spans="1:45" x14ac:dyDescent="0.25">
      <c r="A92" s="19">
        <v>6</v>
      </c>
      <c r="B92" s="12">
        <v>42037</v>
      </c>
      <c r="C92" s="12">
        <v>42043</v>
      </c>
      <c r="D92" s="12">
        <v>42023</v>
      </c>
      <c r="E92" s="12">
        <v>42030</v>
      </c>
      <c r="F92" s="12">
        <v>42037</v>
      </c>
      <c r="G92" s="12">
        <v>42030</v>
      </c>
      <c r="H92" s="13"/>
      <c r="J92" s="102"/>
      <c r="K92" s="102"/>
      <c r="L92" s="102"/>
      <c r="M92" s="102"/>
      <c r="N92" s="102"/>
      <c r="O92" s="102"/>
      <c r="P92" s="102"/>
      <c r="Q92" s="103"/>
      <c r="R92" s="105"/>
      <c r="S92" s="105"/>
      <c r="T92" s="105"/>
      <c r="U92" s="105"/>
      <c r="V92" s="105"/>
      <c r="W92" s="105"/>
      <c r="X92" s="105"/>
      <c r="Y92" s="103"/>
      <c r="Z92" s="102"/>
      <c r="AA92" s="102"/>
      <c r="AB92" s="102"/>
      <c r="AC92" s="102"/>
      <c r="AD92" s="102"/>
      <c r="AE92" s="102"/>
      <c r="AF92" s="102"/>
      <c r="AG92" s="103"/>
      <c r="AH92" s="105"/>
      <c r="AI92" s="105"/>
      <c r="AJ92" s="105"/>
      <c r="AK92" s="105"/>
      <c r="AL92" s="105"/>
      <c r="AM92" s="105"/>
      <c r="AN92" s="105"/>
      <c r="AO92" s="103"/>
      <c r="AP92" s="105"/>
      <c r="AQ92" s="105"/>
      <c r="AR92" s="105"/>
      <c r="AS92" s="105"/>
    </row>
    <row r="93" spans="1:45" x14ac:dyDescent="0.25">
      <c r="A93" s="19">
        <v>7</v>
      </c>
      <c r="B93" s="12">
        <v>42044</v>
      </c>
      <c r="C93" s="12">
        <v>42050</v>
      </c>
      <c r="D93" s="12">
        <v>42030</v>
      </c>
      <c r="E93" s="12">
        <v>42037</v>
      </c>
      <c r="F93" s="12">
        <v>42044</v>
      </c>
      <c r="G93" s="12">
        <v>42037</v>
      </c>
      <c r="H93" s="13"/>
      <c r="J93" s="102"/>
      <c r="K93" s="102"/>
      <c r="L93" s="102"/>
      <c r="M93" s="102"/>
      <c r="N93" s="102"/>
      <c r="O93" s="102"/>
      <c r="P93" s="102"/>
      <c r="Q93" s="103"/>
      <c r="R93" s="105"/>
      <c r="S93" s="105"/>
      <c r="T93" s="105"/>
      <c r="U93" s="105"/>
      <c r="V93" s="105"/>
      <c r="W93" s="105"/>
      <c r="X93" s="105"/>
      <c r="Y93" s="103"/>
      <c r="Z93" s="102"/>
      <c r="AA93" s="102"/>
      <c r="AB93" s="102"/>
      <c r="AC93" s="102"/>
      <c r="AD93" s="102"/>
      <c r="AE93" s="102"/>
      <c r="AF93" s="102"/>
      <c r="AG93" s="103"/>
      <c r="AH93" s="105"/>
      <c r="AI93" s="105"/>
      <c r="AJ93" s="105"/>
      <c r="AK93" s="105"/>
      <c r="AL93" s="105"/>
      <c r="AM93" s="105"/>
      <c r="AN93" s="105"/>
      <c r="AO93" s="103"/>
      <c r="AP93" s="105"/>
      <c r="AQ93" s="105"/>
      <c r="AR93" s="105"/>
      <c r="AS93" s="105"/>
    </row>
    <row r="94" spans="1:45" x14ac:dyDescent="0.25">
      <c r="A94" s="19">
        <v>8</v>
      </c>
      <c r="B94" s="12">
        <v>42051</v>
      </c>
      <c r="C94" s="12">
        <v>42057</v>
      </c>
      <c r="D94" s="12">
        <v>42037</v>
      </c>
      <c r="E94" s="12">
        <v>42044</v>
      </c>
      <c r="F94" s="12">
        <v>42051</v>
      </c>
      <c r="G94" s="12">
        <v>42044</v>
      </c>
      <c r="H94" s="13"/>
      <c r="J94" s="102"/>
      <c r="K94" s="102"/>
      <c r="L94" s="102"/>
      <c r="M94" s="102"/>
      <c r="N94" s="102"/>
      <c r="O94" s="102"/>
      <c r="P94" s="102"/>
      <c r="Q94" s="103"/>
      <c r="R94" s="105"/>
      <c r="S94" s="105"/>
      <c r="T94" s="105"/>
      <c r="U94" s="105"/>
      <c r="V94" s="105"/>
      <c r="W94" s="105"/>
      <c r="X94" s="105"/>
      <c r="Y94" s="103"/>
      <c r="Z94" s="102"/>
      <c r="AA94" s="102"/>
      <c r="AB94" s="102"/>
      <c r="AC94" s="102"/>
      <c r="AD94" s="102"/>
      <c r="AE94" s="102"/>
      <c r="AF94" s="102"/>
      <c r="AG94" s="103"/>
      <c r="AH94" s="105"/>
      <c r="AI94" s="105"/>
      <c r="AJ94" s="105"/>
      <c r="AK94" s="105"/>
      <c r="AL94" s="105"/>
      <c r="AM94" s="105"/>
      <c r="AN94" s="105"/>
      <c r="AO94" s="103"/>
      <c r="AP94" s="105"/>
      <c r="AQ94" s="105"/>
      <c r="AR94" s="105"/>
      <c r="AS94" s="105"/>
    </row>
    <row r="95" spans="1:45" x14ac:dyDescent="0.25">
      <c r="A95" s="19">
        <v>9</v>
      </c>
      <c r="B95" s="12">
        <v>42058</v>
      </c>
      <c r="C95" s="12">
        <v>42064</v>
      </c>
      <c r="D95" s="12">
        <v>42044</v>
      </c>
      <c r="E95" s="12">
        <v>42051</v>
      </c>
      <c r="F95" s="12">
        <v>42058</v>
      </c>
      <c r="G95" s="12">
        <v>42051</v>
      </c>
      <c r="H95" s="13"/>
      <c r="J95" s="102"/>
      <c r="K95" s="102"/>
      <c r="L95" s="102"/>
      <c r="M95" s="102"/>
      <c r="N95" s="102"/>
      <c r="O95" s="102"/>
      <c r="P95" s="102"/>
      <c r="Q95" s="103"/>
      <c r="R95" s="105"/>
      <c r="S95" s="105"/>
      <c r="T95" s="105"/>
      <c r="U95" s="105"/>
      <c r="V95" s="105"/>
      <c r="W95" s="105"/>
      <c r="X95" s="105"/>
      <c r="Y95" s="103"/>
      <c r="Z95" s="102"/>
      <c r="AA95" s="102"/>
      <c r="AB95" s="102"/>
      <c r="AC95" s="102"/>
      <c r="AD95" s="102"/>
      <c r="AE95" s="102"/>
      <c r="AF95" s="102"/>
      <c r="AG95" s="103"/>
      <c r="AH95" s="105"/>
      <c r="AI95" s="105"/>
      <c r="AJ95" s="105"/>
      <c r="AK95" s="105"/>
      <c r="AL95" s="105"/>
      <c r="AM95" s="105"/>
      <c r="AN95" s="105"/>
      <c r="AO95" s="103"/>
      <c r="AP95" s="105"/>
      <c r="AQ95" s="105"/>
      <c r="AR95" s="105"/>
      <c r="AS95" s="105"/>
    </row>
    <row r="96" spans="1:45" x14ac:dyDescent="0.25">
      <c r="A96" s="19">
        <v>10</v>
      </c>
      <c r="B96" s="12">
        <v>42065</v>
      </c>
      <c r="C96" s="12">
        <v>42071</v>
      </c>
      <c r="D96" s="12">
        <v>42051</v>
      </c>
      <c r="E96" s="12">
        <v>42058</v>
      </c>
      <c r="F96" s="12">
        <v>42065</v>
      </c>
      <c r="G96" s="12">
        <v>42058</v>
      </c>
      <c r="H96" s="13"/>
      <c r="J96" s="102"/>
      <c r="K96" s="102"/>
      <c r="L96" s="102"/>
      <c r="M96" s="102"/>
      <c r="N96" s="102"/>
      <c r="O96" s="102"/>
      <c r="P96" s="102"/>
      <c r="Q96" s="103"/>
      <c r="R96" s="105"/>
      <c r="S96" s="105"/>
      <c r="T96" s="105"/>
      <c r="U96" s="105"/>
      <c r="V96" s="105"/>
      <c r="W96" s="105"/>
      <c r="X96" s="105"/>
      <c r="Y96" s="103"/>
      <c r="Z96" s="102"/>
      <c r="AA96" s="102"/>
      <c r="AB96" s="102"/>
      <c r="AC96" s="102"/>
      <c r="AD96" s="102"/>
      <c r="AE96" s="102"/>
      <c r="AF96" s="102"/>
      <c r="AG96" s="103"/>
      <c r="AH96" s="105"/>
      <c r="AI96" s="105"/>
      <c r="AJ96" s="105"/>
      <c r="AK96" s="105"/>
      <c r="AL96" s="105"/>
      <c r="AM96" s="105"/>
      <c r="AN96" s="105"/>
      <c r="AO96" s="103"/>
      <c r="AP96" s="105"/>
      <c r="AQ96" s="105"/>
      <c r="AR96" s="105"/>
      <c r="AS96" s="105"/>
    </row>
    <row r="97" spans="1:45" x14ac:dyDescent="0.25">
      <c r="A97" s="19">
        <v>11</v>
      </c>
      <c r="B97" s="12">
        <v>42072</v>
      </c>
      <c r="C97" s="12">
        <v>42078</v>
      </c>
      <c r="D97" s="12">
        <v>42058</v>
      </c>
      <c r="E97" s="12">
        <v>42065</v>
      </c>
      <c r="F97" s="12">
        <v>42072</v>
      </c>
      <c r="G97" s="12">
        <v>42065</v>
      </c>
      <c r="H97" s="13"/>
      <c r="J97" s="102"/>
      <c r="K97" s="102"/>
      <c r="L97" s="102"/>
      <c r="M97" s="102"/>
      <c r="N97" s="102"/>
      <c r="O97" s="102"/>
      <c r="P97" s="102"/>
      <c r="Q97" s="103"/>
      <c r="R97" s="105"/>
      <c r="S97" s="105"/>
      <c r="T97" s="105"/>
      <c r="U97" s="105"/>
      <c r="V97" s="105"/>
      <c r="W97" s="105"/>
      <c r="X97" s="105"/>
      <c r="Y97" s="103"/>
      <c r="Z97" s="102"/>
      <c r="AA97" s="102"/>
      <c r="AB97" s="102"/>
      <c r="AC97" s="102"/>
      <c r="AD97" s="102"/>
      <c r="AE97" s="102"/>
      <c r="AF97" s="102"/>
      <c r="AG97" s="103"/>
      <c r="AH97" s="105"/>
      <c r="AI97" s="105"/>
      <c r="AJ97" s="105"/>
      <c r="AK97" s="105"/>
      <c r="AL97" s="105"/>
      <c r="AM97" s="105"/>
      <c r="AN97" s="105"/>
      <c r="AO97" s="103"/>
      <c r="AP97" s="105"/>
      <c r="AQ97" s="105"/>
      <c r="AR97" s="105"/>
      <c r="AS97" s="105"/>
    </row>
    <row r="98" spans="1:45" x14ac:dyDescent="0.25">
      <c r="A98" s="19">
        <v>12</v>
      </c>
      <c r="B98" s="12">
        <v>42079</v>
      </c>
      <c r="C98" s="12">
        <v>42085</v>
      </c>
      <c r="D98" s="12">
        <v>42065</v>
      </c>
      <c r="E98" s="12">
        <v>42072</v>
      </c>
      <c r="F98" s="12">
        <v>42079</v>
      </c>
      <c r="G98" s="12">
        <v>42072</v>
      </c>
      <c r="H98" s="13"/>
      <c r="J98" s="102"/>
      <c r="K98" s="102"/>
      <c r="L98" s="102"/>
      <c r="M98" s="102"/>
      <c r="N98" s="102"/>
      <c r="O98" s="102"/>
      <c r="P98" s="102"/>
      <c r="Q98" s="103"/>
      <c r="R98" s="105"/>
      <c r="S98" s="105"/>
      <c r="T98" s="105"/>
      <c r="U98" s="105"/>
      <c r="V98" s="105"/>
      <c r="W98" s="105"/>
      <c r="X98" s="105"/>
      <c r="Y98" s="103"/>
      <c r="Z98" s="102"/>
      <c r="AA98" s="102"/>
      <c r="AB98" s="102"/>
      <c r="AC98" s="102"/>
      <c r="AD98" s="102"/>
      <c r="AE98" s="102"/>
      <c r="AF98" s="102"/>
      <c r="AG98" s="103"/>
      <c r="AH98" s="105"/>
      <c r="AI98" s="105"/>
      <c r="AJ98" s="105"/>
      <c r="AK98" s="105"/>
      <c r="AL98" s="105"/>
      <c r="AM98" s="105"/>
      <c r="AN98" s="105"/>
      <c r="AO98" s="103"/>
      <c r="AP98" s="105"/>
      <c r="AQ98" s="105"/>
      <c r="AR98" s="105"/>
      <c r="AS98" s="105"/>
    </row>
    <row r="99" spans="1:45" x14ac:dyDescent="0.25">
      <c r="A99" s="19">
        <v>13</v>
      </c>
      <c r="B99" s="12">
        <v>42086</v>
      </c>
      <c r="C99" s="12">
        <v>42092</v>
      </c>
      <c r="D99" s="12">
        <v>42072</v>
      </c>
      <c r="E99" s="12">
        <v>42079</v>
      </c>
      <c r="F99" s="12">
        <v>42086</v>
      </c>
      <c r="G99" s="12">
        <v>42079</v>
      </c>
      <c r="H99" s="13"/>
      <c r="J99" s="102"/>
      <c r="K99" s="102"/>
      <c r="L99" s="102"/>
      <c r="M99" s="102"/>
      <c r="N99" s="102"/>
      <c r="O99" s="102"/>
      <c r="P99" s="102"/>
      <c r="Q99" s="103"/>
      <c r="R99" s="105"/>
      <c r="S99" s="105"/>
      <c r="T99" s="105"/>
      <c r="U99" s="105"/>
      <c r="V99" s="105"/>
      <c r="W99" s="105"/>
      <c r="X99" s="105"/>
      <c r="Y99" s="103"/>
      <c r="Z99" s="102"/>
      <c r="AA99" s="102"/>
      <c r="AB99" s="102"/>
      <c r="AC99" s="102"/>
      <c r="AD99" s="102"/>
      <c r="AE99" s="102"/>
      <c r="AF99" s="102"/>
      <c r="AG99" s="103"/>
      <c r="AH99" s="105"/>
      <c r="AI99" s="105"/>
      <c r="AJ99" s="105"/>
      <c r="AK99" s="105"/>
      <c r="AL99" s="105"/>
      <c r="AM99" s="105"/>
      <c r="AN99" s="105"/>
      <c r="AO99" s="103"/>
      <c r="AP99" s="105"/>
      <c r="AQ99" s="105"/>
      <c r="AR99" s="105"/>
      <c r="AS99" s="105"/>
    </row>
    <row r="100" spans="1:45" x14ac:dyDescent="0.25">
      <c r="A100" s="19">
        <v>14</v>
      </c>
      <c r="B100" s="12">
        <v>42093</v>
      </c>
      <c r="C100" s="12">
        <v>42099</v>
      </c>
      <c r="D100" s="12">
        <v>42079</v>
      </c>
      <c r="E100" s="12">
        <v>42086</v>
      </c>
      <c r="F100" s="12">
        <v>42093</v>
      </c>
      <c r="G100" s="12">
        <v>42086</v>
      </c>
      <c r="H100" s="13"/>
      <c r="J100" s="102"/>
      <c r="K100" s="102"/>
      <c r="L100" s="102"/>
      <c r="M100" s="102"/>
      <c r="N100" s="102"/>
      <c r="O100" s="102"/>
      <c r="P100" s="102"/>
      <c r="Q100" s="103"/>
      <c r="R100" s="105"/>
      <c r="S100" s="105"/>
      <c r="T100" s="105"/>
      <c r="U100" s="105"/>
      <c r="V100" s="105"/>
      <c r="W100" s="105"/>
      <c r="X100" s="105"/>
      <c r="Y100" s="103"/>
      <c r="Z100" s="102"/>
      <c r="AA100" s="102"/>
      <c r="AB100" s="102"/>
      <c r="AC100" s="102"/>
      <c r="AD100" s="102"/>
      <c r="AE100" s="102"/>
      <c r="AF100" s="102"/>
      <c r="AG100" s="103"/>
      <c r="AH100" s="105"/>
      <c r="AI100" s="105"/>
      <c r="AJ100" s="105"/>
      <c r="AK100" s="105"/>
      <c r="AL100" s="105"/>
      <c r="AM100" s="105"/>
      <c r="AN100" s="105"/>
      <c r="AO100" s="103"/>
      <c r="AP100" s="105"/>
      <c r="AQ100" s="105"/>
      <c r="AR100" s="105"/>
      <c r="AS100" s="105"/>
    </row>
    <row r="101" spans="1:45" x14ac:dyDescent="0.25">
      <c r="A101" s="19">
        <v>15</v>
      </c>
      <c r="B101" s="12">
        <v>42100</v>
      </c>
      <c r="C101" s="12">
        <v>42106</v>
      </c>
      <c r="D101" s="12">
        <v>42086</v>
      </c>
      <c r="E101" s="12">
        <v>42093</v>
      </c>
      <c r="F101" s="12">
        <v>42100</v>
      </c>
      <c r="G101" s="12">
        <v>42093</v>
      </c>
      <c r="H101" s="13"/>
      <c r="J101" s="102"/>
      <c r="K101" s="102"/>
      <c r="L101" s="102"/>
      <c r="M101" s="102"/>
      <c r="N101" s="102"/>
      <c r="O101" s="102"/>
      <c r="P101" s="102"/>
      <c r="Q101" s="103"/>
      <c r="R101" s="105"/>
      <c r="S101" s="105"/>
      <c r="T101" s="105"/>
      <c r="U101" s="105"/>
      <c r="V101" s="105"/>
      <c r="W101" s="105"/>
      <c r="X101" s="105"/>
      <c r="Y101" s="103"/>
      <c r="Z101" s="102"/>
      <c r="AA101" s="102"/>
      <c r="AB101" s="102"/>
      <c r="AC101" s="102"/>
      <c r="AD101" s="102"/>
      <c r="AE101" s="102"/>
      <c r="AF101" s="102"/>
      <c r="AG101" s="103"/>
      <c r="AH101" s="105"/>
      <c r="AI101" s="105"/>
      <c r="AJ101" s="105"/>
      <c r="AK101" s="105"/>
      <c r="AL101" s="105"/>
      <c r="AM101" s="105"/>
      <c r="AN101" s="105"/>
      <c r="AO101" s="103"/>
      <c r="AP101" s="105"/>
      <c r="AQ101" s="105"/>
      <c r="AR101" s="105"/>
      <c r="AS101" s="105"/>
    </row>
    <row r="102" spans="1:45" x14ac:dyDescent="0.25">
      <c r="A102" s="19">
        <v>16</v>
      </c>
      <c r="B102" s="12">
        <v>42107</v>
      </c>
      <c r="C102" s="12">
        <v>42113</v>
      </c>
      <c r="D102" s="12">
        <v>42093</v>
      </c>
      <c r="E102" s="12">
        <v>42100</v>
      </c>
      <c r="F102" s="12">
        <v>42107</v>
      </c>
      <c r="G102" s="12">
        <v>42100</v>
      </c>
      <c r="H102" s="13"/>
      <c r="J102" s="102"/>
      <c r="K102" s="102"/>
      <c r="L102" s="102"/>
      <c r="M102" s="102"/>
      <c r="N102" s="102"/>
      <c r="O102" s="102"/>
      <c r="P102" s="102"/>
      <c r="Q102" s="103"/>
      <c r="R102" s="105"/>
      <c r="S102" s="105"/>
      <c r="T102" s="105"/>
      <c r="U102" s="105"/>
      <c r="V102" s="105"/>
      <c r="W102" s="105"/>
      <c r="X102" s="105"/>
      <c r="Y102" s="103"/>
      <c r="Z102" s="102"/>
      <c r="AA102" s="102"/>
      <c r="AB102" s="102"/>
      <c r="AC102" s="102"/>
      <c r="AD102" s="102"/>
      <c r="AE102" s="102"/>
      <c r="AF102" s="102"/>
      <c r="AG102" s="103"/>
      <c r="AH102" s="105"/>
      <c r="AI102" s="105"/>
      <c r="AJ102" s="105"/>
      <c r="AK102" s="105"/>
      <c r="AL102" s="105"/>
      <c r="AM102" s="105"/>
      <c r="AN102" s="105"/>
      <c r="AO102" s="103"/>
      <c r="AP102" s="105"/>
      <c r="AQ102" s="105"/>
      <c r="AR102" s="105"/>
      <c r="AS102" s="105"/>
    </row>
    <row r="103" spans="1:45" x14ac:dyDescent="0.25">
      <c r="A103" s="19">
        <v>17</v>
      </c>
      <c r="B103" s="12">
        <v>42114</v>
      </c>
      <c r="C103" s="12">
        <v>42120</v>
      </c>
      <c r="D103" s="12">
        <v>42100</v>
      </c>
      <c r="E103" s="12">
        <v>42107</v>
      </c>
      <c r="F103" s="12">
        <v>42114</v>
      </c>
      <c r="G103" s="12">
        <v>42107</v>
      </c>
      <c r="H103" s="13"/>
      <c r="J103" s="102"/>
      <c r="K103" s="102"/>
      <c r="L103" s="102"/>
      <c r="M103" s="102"/>
      <c r="N103" s="102"/>
      <c r="O103" s="102"/>
      <c r="P103" s="102"/>
      <c r="Q103" s="103"/>
      <c r="R103" s="105"/>
      <c r="S103" s="105"/>
      <c r="T103" s="105"/>
      <c r="U103" s="105"/>
      <c r="V103" s="105"/>
      <c r="W103" s="105"/>
      <c r="X103" s="105"/>
      <c r="Y103" s="103"/>
      <c r="Z103" s="102"/>
      <c r="AA103" s="102"/>
      <c r="AB103" s="102"/>
      <c r="AC103" s="102"/>
      <c r="AD103" s="102"/>
      <c r="AE103" s="102"/>
      <c r="AF103" s="102"/>
      <c r="AG103" s="103"/>
      <c r="AH103" s="105"/>
      <c r="AI103" s="105"/>
      <c r="AJ103" s="105"/>
      <c r="AK103" s="105"/>
      <c r="AL103" s="105"/>
      <c r="AM103" s="105"/>
      <c r="AN103" s="105"/>
      <c r="AO103" s="103"/>
      <c r="AP103" s="105"/>
      <c r="AQ103" s="105"/>
      <c r="AR103" s="105"/>
      <c r="AS103" s="105"/>
    </row>
    <row r="104" spans="1:45" x14ac:dyDescent="0.25">
      <c r="A104" s="19">
        <v>18</v>
      </c>
      <c r="B104" s="12">
        <v>42121</v>
      </c>
      <c r="C104" s="12">
        <v>42127</v>
      </c>
      <c r="D104" s="12">
        <v>42107</v>
      </c>
      <c r="E104" s="12">
        <v>42114</v>
      </c>
      <c r="F104" s="12">
        <v>42121</v>
      </c>
      <c r="G104" s="12">
        <v>42114</v>
      </c>
      <c r="H104" s="13"/>
      <c r="J104" s="102"/>
      <c r="K104" s="102"/>
      <c r="L104" s="102"/>
      <c r="M104" s="102"/>
      <c r="N104" s="102"/>
      <c r="O104" s="102"/>
      <c r="P104" s="102"/>
      <c r="Q104" s="103"/>
      <c r="R104" s="105"/>
      <c r="S104" s="105"/>
      <c r="T104" s="105"/>
      <c r="U104" s="105"/>
      <c r="V104" s="105"/>
      <c r="W104" s="105"/>
      <c r="X104" s="105"/>
      <c r="Y104" s="103"/>
      <c r="Z104" s="102"/>
      <c r="AA104" s="102"/>
      <c r="AB104" s="102"/>
      <c r="AC104" s="102"/>
      <c r="AD104" s="102"/>
      <c r="AE104" s="102"/>
      <c r="AF104" s="102"/>
      <c r="AG104" s="103"/>
      <c r="AH104" s="105"/>
      <c r="AI104" s="105"/>
      <c r="AJ104" s="105"/>
      <c r="AK104" s="105"/>
      <c r="AL104" s="105"/>
      <c r="AM104" s="105"/>
      <c r="AN104" s="105"/>
      <c r="AO104" s="103"/>
      <c r="AP104" s="105"/>
      <c r="AQ104" s="105"/>
      <c r="AR104" s="105"/>
      <c r="AS104" s="105"/>
    </row>
    <row r="105" spans="1:45" x14ac:dyDescent="0.25">
      <c r="A105" s="19">
        <v>19</v>
      </c>
      <c r="B105" s="12">
        <v>42128</v>
      </c>
      <c r="C105" s="12">
        <v>42134</v>
      </c>
      <c r="D105" s="12">
        <v>42114</v>
      </c>
      <c r="E105" s="12">
        <v>42121</v>
      </c>
      <c r="F105" s="12">
        <v>42128</v>
      </c>
      <c r="G105" s="12">
        <v>42121</v>
      </c>
      <c r="H105" s="13"/>
      <c r="J105" s="102"/>
      <c r="K105" s="102"/>
      <c r="L105" s="102"/>
      <c r="M105" s="102"/>
      <c r="N105" s="102"/>
      <c r="O105" s="102"/>
      <c r="P105" s="102"/>
      <c r="Q105" s="103"/>
      <c r="R105" s="105"/>
      <c r="S105" s="105"/>
      <c r="T105" s="105"/>
      <c r="U105" s="105"/>
      <c r="V105" s="105"/>
      <c r="W105" s="105"/>
      <c r="X105" s="105"/>
      <c r="Y105" s="103"/>
      <c r="Z105" s="102"/>
      <c r="AA105" s="102"/>
      <c r="AB105" s="102"/>
      <c r="AC105" s="102"/>
      <c r="AD105" s="102"/>
      <c r="AE105" s="102"/>
      <c r="AF105" s="102"/>
      <c r="AG105" s="103"/>
      <c r="AH105" s="105"/>
      <c r="AI105" s="105"/>
      <c r="AJ105" s="105"/>
      <c r="AK105" s="105"/>
      <c r="AL105" s="105"/>
      <c r="AM105" s="105"/>
      <c r="AN105" s="105"/>
      <c r="AO105" s="103"/>
      <c r="AP105" s="105"/>
      <c r="AQ105" s="105"/>
      <c r="AR105" s="105"/>
      <c r="AS105" s="105"/>
    </row>
    <row r="106" spans="1:45" x14ac:dyDescent="0.25">
      <c r="A106" s="19">
        <v>20</v>
      </c>
      <c r="B106" s="12">
        <v>42135</v>
      </c>
      <c r="C106" s="12">
        <v>42141</v>
      </c>
      <c r="D106" s="12">
        <v>42121</v>
      </c>
      <c r="E106" s="12">
        <v>42128</v>
      </c>
      <c r="F106" s="12">
        <v>42135</v>
      </c>
      <c r="G106" s="12">
        <v>42128</v>
      </c>
      <c r="H106" s="13"/>
      <c r="J106" s="102"/>
      <c r="K106" s="102"/>
      <c r="L106" s="102"/>
      <c r="M106" s="102"/>
      <c r="N106" s="102"/>
      <c r="O106" s="102"/>
      <c r="P106" s="102"/>
      <c r="Q106" s="103"/>
      <c r="R106" s="105"/>
      <c r="S106" s="105"/>
      <c r="T106" s="105"/>
      <c r="U106" s="105"/>
      <c r="V106" s="105"/>
      <c r="W106" s="105"/>
      <c r="X106" s="105"/>
      <c r="Y106" s="103"/>
      <c r="Z106" s="102"/>
      <c r="AA106" s="102"/>
      <c r="AB106" s="102"/>
      <c r="AC106" s="102"/>
      <c r="AD106" s="102"/>
      <c r="AE106" s="102"/>
      <c r="AF106" s="102"/>
      <c r="AG106" s="103"/>
      <c r="AH106" s="105"/>
      <c r="AI106" s="105"/>
      <c r="AJ106" s="105"/>
      <c r="AK106" s="105"/>
      <c r="AL106" s="105"/>
      <c r="AM106" s="105"/>
      <c r="AN106" s="105"/>
      <c r="AO106" s="103"/>
      <c r="AP106" s="105"/>
      <c r="AQ106" s="105"/>
      <c r="AR106" s="105"/>
      <c r="AS106" s="105"/>
    </row>
    <row r="107" spans="1:45" x14ac:dyDescent="0.25">
      <c r="A107" s="19">
        <v>21</v>
      </c>
      <c r="B107" s="12">
        <v>42142</v>
      </c>
      <c r="C107" s="12">
        <v>42148</v>
      </c>
      <c r="D107" s="12">
        <v>42128</v>
      </c>
      <c r="E107" s="12">
        <v>42135</v>
      </c>
      <c r="F107" s="12">
        <v>42142</v>
      </c>
      <c r="G107" s="12">
        <v>42135</v>
      </c>
      <c r="H107" s="13"/>
      <c r="J107" s="102"/>
      <c r="K107" s="102"/>
      <c r="L107" s="102"/>
      <c r="M107" s="102"/>
      <c r="N107" s="102"/>
      <c r="O107" s="102"/>
      <c r="P107" s="102"/>
      <c r="Q107" s="103"/>
      <c r="R107" s="105"/>
      <c r="S107" s="105"/>
      <c r="T107" s="105"/>
      <c r="U107" s="105"/>
      <c r="V107" s="105"/>
      <c r="W107" s="105"/>
      <c r="X107" s="105"/>
      <c r="Y107" s="103"/>
      <c r="Z107" s="102"/>
      <c r="AA107" s="102"/>
      <c r="AB107" s="102"/>
      <c r="AC107" s="102"/>
      <c r="AD107" s="102"/>
      <c r="AE107" s="102"/>
      <c r="AF107" s="102"/>
      <c r="AG107" s="103"/>
      <c r="AH107" s="105"/>
      <c r="AI107" s="105"/>
      <c r="AJ107" s="105"/>
      <c r="AK107" s="105"/>
      <c r="AL107" s="105"/>
      <c r="AM107" s="105"/>
      <c r="AN107" s="105"/>
      <c r="AO107" s="103"/>
      <c r="AP107" s="105"/>
      <c r="AQ107" s="105"/>
      <c r="AR107" s="105"/>
      <c r="AS107" s="105"/>
    </row>
    <row r="108" spans="1:45" x14ac:dyDescent="0.25">
      <c r="A108" s="19">
        <v>22</v>
      </c>
      <c r="B108" s="12">
        <v>42149</v>
      </c>
      <c r="C108" s="12">
        <v>42155</v>
      </c>
      <c r="D108" s="12">
        <v>42135</v>
      </c>
      <c r="E108" s="12">
        <v>42142</v>
      </c>
      <c r="F108" s="12">
        <v>42149</v>
      </c>
      <c r="G108" s="12">
        <v>42142</v>
      </c>
      <c r="H108" s="13"/>
      <c r="J108" s="102"/>
      <c r="K108" s="102"/>
      <c r="L108" s="102"/>
      <c r="M108" s="102"/>
      <c r="N108" s="102"/>
      <c r="O108" s="102"/>
      <c r="P108" s="102"/>
      <c r="Q108" s="103"/>
      <c r="R108" s="105"/>
      <c r="S108" s="105"/>
      <c r="T108" s="105"/>
      <c r="U108" s="105"/>
      <c r="V108" s="105"/>
      <c r="W108" s="105"/>
      <c r="X108" s="105"/>
      <c r="Y108" s="103"/>
      <c r="Z108" s="102"/>
      <c r="AA108" s="102"/>
      <c r="AB108" s="102"/>
      <c r="AC108" s="102"/>
      <c r="AD108" s="102"/>
      <c r="AE108" s="102"/>
      <c r="AF108" s="102"/>
      <c r="AG108" s="103"/>
      <c r="AH108" s="105"/>
      <c r="AI108" s="105"/>
      <c r="AJ108" s="105"/>
      <c r="AK108" s="105"/>
      <c r="AL108" s="105"/>
      <c r="AM108" s="105"/>
      <c r="AN108" s="105"/>
      <c r="AO108" s="103"/>
      <c r="AP108" s="105"/>
      <c r="AQ108" s="105"/>
      <c r="AR108" s="105"/>
      <c r="AS108" s="105"/>
    </row>
    <row r="109" spans="1:45" x14ac:dyDescent="0.25">
      <c r="A109" s="19">
        <v>23</v>
      </c>
      <c r="B109" s="12">
        <v>42156</v>
      </c>
      <c r="C109" s="12">
        <v>42162</v>
      </c>
      <c r="D109" s="12">
        <v>42142</v>
      </c>
      <c r="E109" s="12">
        <v>42149</v>
      </c>
      <c r="F109" s="12">
        <v>42156</v>
      </c>
      <c r="G109" s="12">
        <v>42149</v>
      </c>
      <c r="H109" s="13"/>
      <c r="J109" s="102"/>
      <c r="K109" s="102"/>
      <c r="L109" s="102"/>
      <c r="M109" s="102"/>
      <c r="N109" s="102"/>
      <c r="O109" s="102"/>
      <c r="P109" s="102"/>
      <c r="Q109" s="103"/>
      <c r="R109" s="105"/>
      <c r="S109" s="105"/>
      <c r="T109" s="105"/>
      <c r="U109" s="105"/>
      <c r="V109" s="105"/>
      <c r="W109" s="105"/>
      <c r="X109" s="105"/>
      <c r="Y109" s="103"/>
      <c r="Z109" s="102"/>
      <c r="AA109" s="102"/>
      <c r="AB109" s="102"/>
      <c r="AC109" s="102"/>
      <c r="AD109" s="102"/>
      <c r="AE109" s="102"/>
      <c r="AF109" s="102"/>
      <c r="AG109" s="103"/>
      <c r="AH109" s="105"/>
      <c r="AI109" s="105"/>
      <c r="AJ109" s="105"/>
      <c r="AK109" s="105"/>
      <c r="AL109" s="105"/>
      <c r="AM109" s="105"/>
      <c r="AN109" s="105"/>
      <c r="AO109" s="103"/>
      <c r="AP109" s="105"/>
      <c r="AQ109" s="105"/>
      <c r="AR109" s="105"/>
      <c r="AS109" s="105"/>
    </row>
    <row r="110" spans="1:45" x14ac:dyDescent="0.25">
      <c r="A110" s="19">
        <v>24</v>
      </c>
      <c r="B110" s="12">
        <v>42163</v>
      </c>
      <c r="C110" s="12">
        <v>42169</v>
      </c>
      <c r="D110" s="12">
        <v>42149</v>
      </c>
      <c r="E110" s="12">
        <v>42156</v>
      </c>
      <c r="F110" s="12">
        <v>42163</v>
      </c>
      <c r="G110" s="12">
        <v>42156</v>
      </c>
      <c r="H110" s="13"/>
      <c r="J110" s="102"/>
      <c r="K110" s="102"/>
      <c r="L110" s="102"/>
      <c r="M110" s="102"/>
      <c r="N110" s="102"/>
      <c r="O110" s="102"/>
      <c r="P110" s="102"/>
      <c r="Q110" s="103"/>
      <c r="R110" s="105"/>
      <c r="S110" s="105"/>
      <c r="T110" s="105"/>
      <c r="U110" s="105"/>
      <c r="V110" s="105"/>
      <c r="W110" s="105"/>
      <c r="X110" s="105"/>
      <c r="Y110" s="103"/>
      <c r="Z110" s="102"/>
      <c r="AA110" s="102"/>
      <c r="AB110" s="102"/>
      <c r="AC110" s="102"/>
      <c r="AD110" s="102"/>
      <c r="AE110" s="102"/>
      <c r="AF110" s="102"/>
      <c r="AG110" s="103"/>
      <c r="AH110" s="105"/>
      <c r="AI110" s="105"/>
      <c r="AJ110" s="105"/>
      <c r="AK110" s="105"/>
      <c r="AL110" s="105"/>
      <c r="AM110" s="105"/>
      <c r="AN110" s="105"/>
      <c r="AO110" s="103"/>
      <c r="AP110" s="105"/>
      <c r="AQ110" s="105"/>
      <c r="AR110" s="105"/>
      <c r="AS110" s="105"/>
    </row>
    <row r="111" spans="1:45" x14ac:dyDescent="0.25">
      <c r="A111" s="19">
        <v>25</v>
      </c>
      <c r="B111" s="12">
        <v>42170</v>
      </c>
      <c r="C111" s="12">
        <v>42176</v>
      </c>
      <c r="D111" s="12">
        <v>42156</v>
      </c>
      <c r="E111" s="12">
        <v>42163</v>
      </c>
      <c r="F111" s="12">
        <v>42170</v>
      </c>
      <c r="G111" s="12">
        <v>42163</v>
      </c>
      <c r="H111" s="13"/>
      <c r="J111" s="102"/>
      <c r="K111" s="102"/>
      <c r="L111" s="102"/>
      <c r="M111" s="102"/>
      <c r="N111" s="102"/>
      <c r="O111" s="102"/>
      <c r="P111" s="102"/>
      <c r="Q111" s="103"/>
      <c r="R111" s="105"/>
      <c r="S111" s="105"/>
      <c r="T111" s="105"/>
      <c r="U111" s="105"/>
      <c r="V111" s="105"/>
      <c r="W111" s="105"/>
      <c r="X111" s="105"/>
      <c r="Y111" s="103"/>
      <c r="Z111" s="102"/>
      <c r="AA111" s="102"/>
      <c r="AB111" s="102"/>
      <c r="AC111" s="102"/>
      <c r="AD111" s="102"/>
      <c r="AE111" s="102"/>
      <c r="AF111" s="102"/>
      <c r="AG111" s="103"/>
      <c r="AH111" s="105"/>
      <c r="AI111" s="105"/>
      <c r="AJ111" s="105"/>
      <c r="AK111" s="105"/>
      <c r="AL111" s="105"/>
      <c r="AM111" s="105"/>
      <c r="AN111" s="105"/>
      <c r="AO111" s="103"/>
      <c r="AP111" s="105"/>
      <c r="AQ111" s="105"/>
      <c r="AR111" s="105"/>
      <c r="AS111" s="105"/>
    </row>
    <row r="112" spans="1:45" x14ac:dyDescent="0.25">
      <c r="A112" s="19">
        <v>26</v>
      </c>
      <c r="B112" s="12">
        <v>42177</v>
      </c>
      <c r="C112" s="12">
        <v>42183</v>
      </c>
      <c r="D112" s="12">
        <v>42163</v>
      </c>
      <c r="E112" s="12">
        <v>42170</v>
      </c>
      <c r="F112" s="12">
        <v>42177</v>
      </c>
      <c r="G112" s="12">
        <v>42170</v>
      </c>
      <c r="H112" s="13"/>
      <c r="J112" s="102"/>
      <c r="K112" s="102"/>
      <c r="L112" s="102"/>
      <c r="M112" s="102"/>
      <c r="N112" s="102"/>
      <c r="O112" s="102"/>
      <c r="P112" s="102"/>
      <c r="Q112" s="103"/>
      <c r="R112" s="105"/>
      <c r="S112" s="105"/>
      <c r="T112" s="105"/>
      <c r="U112" s="105"/>
      <c r="V112" s="105"/>
      <c r="W112" s="105"/>
      <c r="X112" s="105"/>
      <c r="Y112" s="103"/>
      <c r="Z112" s="102"/>
      <c r="AA112" s="102"/>
      <c r="AB112" s="102"/>
      <c r="AC112" s="102"/>
      <c r="AD112" s="102"/>
      <c r="AE112" s="102"/>
      <c r="AF112" s="102"/>
      <c r="AG112" s="103"/>
      <c r="AH112" s="105"/>
      <c r="AI112" s="105"/>
      <c r="AJ112" s="105"/>
      <c r="AK112" s="105"/>
      <c r="AL112" s="105"/>
      <c r="AM112" s="105"/>
      <c r="AN112" s="105"/>
      <c r="AO112" s="103"/>
      <c r="AP112" s="105"/>
      <c r="AQ112" s="105"/>
      <c r="AR112" s="105"/>
      <c r="AS112" s="105"/>
    </row>
    <row r="113" spans="1:45" x14ac:dyDescent="0.25">
      <c r="A113" s="19">
        <v>27</v>
      </c>
      <c r="B113" s="12">
        <v>42184</v>
      </c>
      <c r="C113" s="12">
        <v>42190</v>
      </c>
      <c r="D113" s="12">
        <v>42170</v>
      </c>
      <c r="E113" s="12">
        <v>42177</v>
      </c>
      <c r="F113" s="12">
        <v>42184</v>
      </c>
      <c r="G113" s="12">
        <v>42177</v>
      </c>
      <c r="H113" s="13"/>
      <c r="J113" s="102"/>
      <c r="K113" s="102"/>
      <c r="L113" s="102"/>
      <c r="M113" s="102"/>
      <c r="N113" s="102"/>
      <c r="O113" s="102"/>
      <c r="P113" s="102"/>
      <c r="Q113" s="103"/>
      <c r="R113" s="105"/>
      <c r="S113" s="105"/>
      <c r="T113" s="105"/>
      <c r="U113" s="105"/>
      <c r="V113" s="105"/>
      <c r="W113" s="105"/>
      <c r="X113" s="105"/>
      <c r="Y113" s="103"/>
      <c r="Z113" s="102"/>
      <c r="AA113" s="102"/>
      <c r="AB113" s="102"/>
      <c r="AC113" s="102"/>
      <c r="AD113" s="102"/>
      <c r="AE113" s="102"/>
      <c r="AF113" s="102"/>
      <c r="AG113" s="103"/>
      <c r="AH113" s="105"/>
      <c r="AI113" s="105"/>
      <c r="AJ113" s="105"/>
      <c r="AK113" s="105"/>
      <c r="AL113" s="105"/>
      <c r="AM113" s="105"/>
      <c r="AN113" s="105"/>
      <c r="AO113" s="103"/>
      <c r="AP113" s="105"/>
      <c r="AQ113" s="105"/>
      <c r="AR113" s="105"/>
      <c r="AS113" s="105"/>
    </row>
    <row r="114" spans="1:45" x14ac:dyDescent="0.25">
      <c r="A114" s="19">
        <v>28</v>
      </c>
      <c r="B114" s="12">
        <v>42191</v>
      </c>
      <c r="C114" s="12">
        <v>42197</v>
      </c>
      <c r="D114" s="12">
        <v>42177</v>
      </c>
      <c r="E114" s="12">
        <v>42184</v>
      </c>
      <c r="F114" s="12">
        <v>42191</v>
      </c>
      <c r="G114" s="12">
        <v>42184</v>
      </c>
      <c r="H114" s="13"/>
      <c r="J114" s="102"/>
      <c r="K114" s="102"/>
      <c r="L114" s="102"/>
      <c r="M114" s="102"/>
      <c r="N114" s="102"/>
      <c r="O114" s="102"/>
      <c r="P114" s="102"/>
      <c r="Q114" s="103"/>
      <c r="R114" s="105"/>
      <c r="S114" s="105"/>
      <c r="T114" s="105"/>
      <c r="U114" s="105"/>
      <c r="V114" s="105"/>
      <c r="W114" s="105"/>
      <c r="X114" s="105"/>
      <c r="Y114" s="103"/>
      <c r="Z114" s="102"/>
      <c r="AA114" s="102"/>
      <c r="AB114" s="102"/>
      <c r="AC114" s="102"/>
      <c r="AD114" s="102"/>
      <c r="AE114" s="102"/>
      <c r="AF114" s="102"/>
      <c r="AG114" s="103"/>
      <c r="AH114" s="105"/>
      <c r="AI114" s="105"/>
      <c r="AJ114" s="105"/>
      <c r="AK114" s="105"/>
      <c r="AL114" s="105"/>
      <c r="AM114" s="105"/>
      <c r="AN114" s="105"/>
      <c r="AO114" s="103"/>
      <c r="AP114" s="105"/>
      <c r="AQ114" s="105"/>
      <c r="AR114" s="105"/>
      <c r="AS114" s="105"/>
    </row>
    <row r="115" spans="1:45" x14ac:dyDescent="0.25">
      <c r="A115" s="19">
        <v>29</v>
      </c>
      <c r="B115" s="12">
        <v>42198</v>
      </c>
      <c r="C115" s="12">
        <v>42204</v>
      </c>
      <c r="D115" s="12">
        <v>42184</v>
      </c>
      <c r="E115" s="12">
        <v>42191</v>
      </c>
      <c r="F115" s="12">
        <v>42198</v>
      </c>
      <c r="G115" s="12">
        <v>42191</v>
      </c>
      <c r="H115" s="13"/>
      <c r="J115" s="102"/>
      <c r="K115" s="102"/>
      <c r="L115" s="102"/>
      <c r="M115" s="102"/>
      <c r="N115" s="102"/>
      <c r="O115" s="102"/>
      <c r="P115" s="102"/>
      <c r="Q115" s="103"/>
      <c r="R115" s="105"/>
      <c r="S115" s="105"/>
      <c r="T115" s="105"/>
      <c r="U115" s="105"/>
      <c r="V115" s="105"/>
      <c r="W115" s="105"/>
      <c r="X115" s="105"/>
      <c r="Y115" s="103"/>
      <c r="Z115" s="102"/>
      <c r="AA115" s="102"/>
      <c r="AB115" s="102"/>
      <c r="AC115" s="102"/>
      <c r="AD115" s="102"/>
      <c r="AE115" s="102"/>
      <c r="AF115" s="102"/>
      <c r="AG115" s="103"/>
      <c r="AH115" s="105"/>
      <c r="AI115" s="105"/>
      <c r="AJ115" s="105"/>
      <c r="AK115" s="105"/>
      <c r="AL115" s="105"/>
      <c r="AM115" s="105"/>
      <c r="AN115" s="105"/>
      <c r="AO115" s="103"/>
      <c r="AP115" s="105"/>
      <c r="AQ115" s="105"/>
      <c r="AR115" s="105"/>
      <c r="AS115" s="105"/>
    </row>
    <row r="116" spans="1:45" x14ac:dyDescent="0.25">
      <c r="A116" s="19">
        <v>30</v>
      </c>
      <c r="B116" s="12">
        <v>42205</v>
      </c>
      <c r="C116" s="12">
        <v>42211</v>
      </c>
      <c r="D116" s="12">
        <v>42191</v>
      </c>
      <c r="E116" s="12">
        <v>42198</v>
      </c>
      <c r="F116" s="12">
        <v>42205</v>
      </c>
      <c r="G116" s="12">
        <v>42198</v>
      </c>
      <c r="H116" s="13"/>
      <c r="J116" s="102"/>
      <c r="K116" s="102"/>
      <c r="L116" s="102"/>
      <c r="M116" s="102"/>
      <c r="N116" s="102"/>
      <c r="O116" s="102"/>
      <c r="P116" s="102"/>
      <c r="Q116" s="103"/>
      <c r="R116" s="105"/>
      <c r="S116" s="105"/>
      <c r="T116" s="105"/>
      <c r="U116" s="105"/>
      <c r="V116" s="105"/>
      <c r="W116" s="105"/>
      <c r="X116" s="105"/>
      <c r="Y116" s="103"/>
      <c r="Z116" s="102"/>
      <c r="AA116" s="102"/>
      <c r="AB116" s="102"/>
      <c r="AC116" s="102"/>
      <c r="AD116" s="102"/>
      <c r="AE116" s="102"/>
      <c r="AF116" s="102"/>
      <c r="AG116" s="103"/>
      <c r="AH116" s="105"/>
      <c r="AI116" s="105"/>
      <c r="AJ116" s="105"/>
      <c r="AK116" s="105"/>
      <c r="AL116" s="105"/>
      <c r="AM116" s="105"/>
      <c r="AN116" s="105"/>
      <c r="AO116" s="103"/>
      <c r="AP116" s="105"/>
      <c r="AQ116" s="105"/>
      <c r="AR116" s="105"/>
      <c r="AS116" s="105"/>
    </row>
    <row r="117" spans="1:45" x14ac:dyDescent="0.25">
      <c r="A117" s="19">
        <v>31</v>
      </c>
      <c r="B117" s="12">
        <v>42212</v>
      </c>
      <c r="C117" s="12">
        <v>42218</v>
      </c>
      <c r="D117" s="12">
        <v>42198</v>
      </c>
      <c r="E117" s="12">
        <v>42205</v>
      </c>
      <c r="F117" s="12">
        <v>42212</v>
      </c>
      <c r="G117" s="12">
        <v>42205</v>
      </c>
      <c r="H117" s="13"/>
      <c r="J117" s="102"/>
      <c r="K117" s="102"/>
      <c r="L117" s="102"/>
      <c r="M117" s="102"/>
      <c r="N117" s="102"/>
      <c r="O117" s="102"/>
      <c r="P117" s="102"/>
      <c r="Q117" s="103"/>
      <c r="R117" s="105"/>
      <c r="S117" s="105"/>
      <c r="T117" s="105"/>
      <c r="U117" s="105"/>
      <c r="V117" s="105"/>
      <c r="W117" s="105"/>
      <c r="X117" s="105"/>
      <c r="Y117" s="103"/>
      <c r="Z117" s="102"/>
      <c r="AA117" s="102"/>
      <c r="AB117" s="102"/>
      <c r="AC117" s="102"/>
      <c r="AD117" s="102"/>
      <c r="AE117" s="102"/>
      <c r="AF117" s="102"/>
      <c r="AG117" s="103"/>
      <c r="AH117" s="105"/>
      <c r="AI117" s="105"/>
      <c r="AJ117" s="105"/>
      <c r="AK117" s="105"/>
      <c r="AL117" s="105"/>
      <c r="AM117" s="105"/>
      <c r="AN117" s="105"/>
      <c r="AO117" s="103"/>
      <c r="AP117" s="105"/>
      <c r="AQ117" s="105"/>
      <c r="AR117" s="105"/>
      <c r="AS117" s="105"/>
    </row>
    <row r="118" spans="1:45" x14ac:dyDescent="0.25">
      <c r="A118" s="19">
        <v>32</v>
      </c>
      <c r="B118" s="12">
        <v>42219</v>
      </c>
      <c r="C118" s="12">
        <v>42225</v>
      </c>
      <c r="D118" s="12">
        <v>42205</v>
      </c>
      <c r="E118" s="12">
        <v>42212</v>
      </c>
      <c r="F118" s="12">
        <v>42219</v>
      </c>
      <c r="G118" s="12">
        <v>42212</v>
      </c>
      <c r="H118" s="13"/>
      <c r="J118" s="102"/>
      <c r="K118" s="102"/>
      <c r="L118" s="102"/>
      <c r="M118" s="102"/>
      <c r="N118" s="102"/>
      <c r="O118" s="102"/>
      <c r="P118" s="102"/>
      <c r="Q118" s="103"/>
      <c r="R118" s="105"/>
      <c r="S118" s="105"/>
      <c r="T118" s="105"/>
      <c r="U118" s="105"/>
      <c r="V118" s="105"/>
      <c r="W118" s="105"/>
      <c r="X118" s="105"/>
      <c r="Y118" s="103"/>
      <c r="Z118" s="102"/>
      <c r="AA118" s="102"/>
      <c r="AB118" s="102"/>
      <c r="AC118" s="102"/>
      <c r="AD118" s="102"/>
      <c r="AE118" s="102"/>
      <c r="AF118" s="102"/>
      <c r="AG118" s="103"/>
      <c r="AH118" s="105"/>
      <c r="AI118" s="105"/>
      <c r="AJ118" s="105"/>
      <c r="AK118" s="105"/>
      <c r="AL118" s="105"/>
      <c r="AM118" s="105"/>
      <c r="AN118" s="105"/>
      <c r="AO118" s="103"/>
      <c r="AP118" s="105"/>
      <c r="AQ118" s="105"/>
      <c r="AR118" s="105"/>
      <c r="AS118" s="105"/>
    </row>
    <row r="119" spans="1:45" x14ac:dyDescent="0.25">
      <c r="A119" s="19">
        <v>33</v>
      </c>
      <c r="B119" s="12">
        <v>42226</v>
      </c>
      <c r="C119" s="12">
        <v>42232</v>
      </c>
      <c r="D119" s="12">
        <v>42212</v>
      </c>
      <c r="E119" s="12">
        <v>42219</v>
      </c>
      <c r="F119" s="12">
        <v>42226</v>
      </c>
      <c r="G119" s="12">
        <v>42219</v>
      </c>
      <c r="H119" s="13"/>
      <c r="J119" s="102"/>
      <c r="K119" s="102"/>
      <c r="L119" s="102"/>
      <c r="M119" s="102"/>
      <c r="N119" s="102"/>
      <c r="O119" s="102"/>
      <c r="P119" s="102"/>
      <c r="Q119" s="103"/>
      <c r="R119" s="105"/>
      <c r="S119" s="105"/>
      <c r="T119" s="105"/>
      <c r="U119" s="105"/>
      <c r="V119" s="105"/>
      <c r="W119" s="105"/>
      <c r="X119" s="105"/>
      <c r="Y119" s="103"/>
      <c r="Z119" s="102"/>
      <c r="AA119" s="102"/>
      <c r="AB119" s="102"/>
      <c r="AC119" s="102"/>
      <c r="AD119" s="102"/>
      <c r="AE119" s="102"/>
      <c r="AF119" s="102"/>
      <c r="AG119" s="103"/>
      <c r="AH119" s="105"/>
      <c r="AI119" s="105"/>
      <c r="AJ119" s="105"/>
      <c r="AK119" s="105"/>
      <c r="AL119" s="105"/>
      <c r="AM119" s="105"/>
      <c r="AN119" s="105"/>
      <c r="AO119" s="103"/>
      <c r="AP119" s="105"/>
      <c r="AQ119" s="105"/>
      <c r="AR119" s="105"/>
      <c r="AS119" s="105"/>
    </row>
    <row r="120" spans="1:45" x14ac:dyDescent="0.25">
      <c r="A120" s="19">
        <v>34</v>
      </c>
      <c r="B120" s="12">
        <v>42233</v>
      </c>
      <c r="C120" s="12">
        <v>42239</v>
      </c>
      <c r="D120" s="12">
        <v>42219</v>
      </c>
      <c r="E120" s="12">
        <v>42226</v>
      </c>
      <c r="F120" s="12">
        <v>42233</v>
      </c>
      <c r="G120" s="12">
        <v>42226</v>
      </c>
      <c r="H120" s="13"/>
      <c r="J120" s="102"/>
      <c r="K120" s="102"/>
      <c r="L120" s="102"/>
      <c r="M120" s="102"/>
      <c r="N120" s="102"/>
      <c r="O120" s="102"/>
      <c r="P120" s="102"/>
      <c r="Q120" s="103"/>
      <c r="R120" s="105"/>
      <c r="S120" s="105"/>
      <c r="T120" s="105"/>
      <c r="U120" s="105"/>
      <c r="V120" s="105"/>
      <c r="W120" s="105"/>
      <c r="X120" s="105"/>
      <c r="Y120" s="103"/>
      <c r="Z120" s="102"/>
      <c r="AA120" s="102"/>
      <c r="AB120" s="102"/>
      <c r="AC120" s="102"/>
      <c r="AD120" s="102"/>
      <c r="AE120" s="102"/>
      <c r="AF120" s="102"/>
      <c r="AG120" s="103"/>
      <c r="AH120" s="105"/>
      <c r="AI120" s="105"/>
      <c r="AJ120" s="105"/>
      <c r="AK120" s="105"/>
      <c r="AL120" s="105"/>
      <c r="AM120" s="105"/>
      <c r="AN120" s="105"/>
      <c r="AO120" s="103"/>
      <c r="AP120" s="105"/>
      <c r="AQ120" s="105"/>
      <c r="AR120" s="105"/>
      <c r="AS120" s="105"/>
    </row>
    <row r="121" spans="1:45" x14ac:dyDescent="0.25">
      <c r="A121" s="19">
        <v>35</v>
      </c>
      <c r="B121" s="12">
        <v>42240</v>
      </c>
      <c r="C121" s="12">
        <v>42246</v>
      </c>
      <c r="D121" s="12">
        <v>42226</v>
      </c>
      <c r="E121" s="12">
        <v>42233</v>
      </c>
      <c r="F121" s="12">
        <v>42240</v>
      </c>
      <c r="G121" s="12">
        <v>42233</v>
      </c>
      <c r="H121" s="13"/>
      <c r="J121" s="102"/>
      <c r="K121" s="102"/>
      <c r="L121" s="102"/>
      <c r="M121" s="102"/>
      <c r="N121" s="102"/>
      <c r="O121" s="102"/>
      <c r="P121" s="102"/>
      <c r="Q121" s="103"/>
      <c r="R121" s="105"/>
      <c r="S121" s="105"/>
      <c r="T121" s="105"/>
      <c r="U121" s="105"/>
      <c r="V121" s="105"/>
      <c r="W121" s="105"/>
      <c r="X121" s="105"/>
      <c r="Y121" s="103"/>
      <c r="Z121" s="102"/>
      <c r="AA121" s="102"/>
      <c r="AB121" s="102"/>
      <c r="AC121" s="102"/>
      <c r="AD121" s="102"/>
      <c r="AE121" s="102"/>
      <c r="AF121" s="102"/>
      <c r="AG121" s="103"/>
      <c r="AH121" s="105"/>
      <c r="AI121" s="105"/>
      <c r="AJ121" s="105"/>
      <c r="AK121" s="105"/>
      <c r="AL121" s="105"/>
      <c r="AM121" s="105"/>
      <c r="AN121" s="105"/>
      <c r="AO121" s="103"/>
      <c r="AP121" s="105"/>
      <c r="AQ121" s="105"/>
      <c r="AR121" s="105"/>
      <c r="AS121" s="105"/>
    </row>
    <row r="122" spans="1:45" x14ac:dyDescent="0.25">
      <c r="A122" s="19">
        <v>36</v>
      </c>
      <c r="B122" s="12">
        <v>42247</v>
      </c>
      <c r="C122" s="12">
        <v>42253</v>
      </c>
      <c r="D122" s="12">
        <v>42233</v>
      </c>
      <c r="E122" s="12">
        <v>42240</v>
      </c>
      <c r="F122" s="12">
        <v>42247</v>
      </c>
      <c r="G122" s="12">
        <v>42240</v>
      </c>
      <c r="H122" s="13"/>
      <c r="J122" s="102"/>
      <c r="K122" s="102"/>
      <c r="L122" s="102"/>
      <c r="M122" s="102"/>
      <c r="N122" s="102"/>
      <c r="O122" s="102"/>
      <c r="P122" s="102"/>
      <c r="Q122" s="103"/>
      <c r="R122" s="105"/>
      <c r="S122" s="105"/>
      <c r="T122" s="105"/>
      <c r="U122" s="105"/>
      <c r="V122" s="105"/>
      <c r="W122" s="105"/>
      <c r="X122" s="105"/>
      <c r="Y122" s="103"/>
      <c r="Z122" s="102"/>
      <c r="AA122" s="102"/>
      <c r="AB122" s="102"/>
      <c r="AC122" s="102"/>
      <c r="AD122" s="102"/>
      <c r="AE122" s="102"/>
      <c r="AF122" s="102"/>
      <c r="AG122" s="103"/>
      <c r="AH122" s="105"/>
      <c r="AI122" s="105"/>
      <c r="AJ122" s="105"/>
      <c r="AK122" s="105"/>
      <c r="AL122" s="105"/>
      <c r="AM122" s="105"/>
      <c r="AN122" s="105"/>
      <c r="AO122" s="103"/>
      <c r="AP122" s="105"/>
      <c r="AQ122" s="105"/>
      <c r="AR122" s="105"/>
      <c r="AS122" s="105"/>
    </row>
    <row r="123" spans="1:45" x14ac:dyDescent="0.25">
      <c r="A123" s="19">
        <v>37</v>
      </c>
      <c r="B123" s="12">
        <v>42254</v>
      </c>
      <c r="C123" s="12">
        <v>42260</v>
      </c>
      <c r="D123" s="12">
        <v>42240</v>
      </c>
      <c r="E123" s="12">
        <v>42247</v>
      </c>
      <c r="F123" s="12">
        <v>42254</v>
      </c>
      <c r="G123" s="12">
        <v>42247</v>
      </c>
      <c r="H123" s="13"/>
      <c r="J123" s="102"/>
      <c r="K123" s="102"/>
      <c r="L123" s="102"/>
      <c r="M123" s="102"/>
      <c r="N123" s="102"/>
      <c r="O123" s="102"/>
      <c r="P123" s="102"/>
      <c r="Q123" s="103"/>
      <c r="R123" s="105"/>
      <c r="S123" s="105"/>
      <c r="T123" s="105"/>
      <c r="U123" s="105"/>
      <c r="V123" s="105"/>
      <c r="W123" s="105"/>
      <c r="X123" s="105"/>
      <c r="Y123" s="103"/>
      <c r="Z123" s="102"/>
      <c r="AA123" s="102"/>
      <c r="AB123" s="102"/>
      <c r="AC123" s="102"/>
      <c r="AD123" s="102"/>
      <c r="AE123" s="102"/>
      <c r="AF123" s="102"/>
      <c r="AG123" s="103"/>
      <c r="AH123" s="105"/>
      <c r="AI123" s="105"/>
      <c r="AJ123" s="105"/>
      <c r="AK123" s="105"/>
      <c r="AL123" s="105"/>
      <c r="AM123" s="105"/>
      <c r="AN123" s="105"/>
      <c r="AO123" s="103"/>
      <c r="AP123" s="105"/>
      <c r="AQ123" s="105"/>
      <c r="AR123" s="105"/>
      <c r="AS123" s="105"/>
    </row>
    <row r="124" spans="1:45" x14ac:dyDescent="0.25">
      <c r="A124" s="19">
        <v>38</v>
      </c>
      <c r="B124" s="12">
        <v>42261</v>
      </c>
      <c r="C124" s="12">
        <v>42267</v>
      </c>
      <c r="D124" s="12">
        <v>42247</v>
      </c>
      <c r="E124" s="12">
        <v>42254</v>
      </c>
      <c r="F124" s="12">
        <v>42261</v>
      </c>
      <c r="G124" s="12">
        <v>42254</v>
      </c>
      <c r="H124" s="13"/>
      <c r="J124" s="102"/>
      <c r="K124" s="102"/>
      <c r="L124" s="102"/>
      <c r="M124" s="102"/>
      <c r="N124" s="102"/>
      <c r="O124" s="102"/>
      <c r="P124" s="102"/>
      <c r="Q124" s="103"/>
      <c r="R124" s="105"/>
      <c r="S124" s="105"/>
      <c r="T124" s="105"/>
      <c r="U124" s="105"/>
      <c r="V124" s="105"/>
      <c r="W124" s="105"/>
      <c r="X124" s="105"/>
      <c r="Y124" s="103"/>
      <c r="Z124" s="102"/>
      <c r="AA124" s="102"/>
      <c r="AB124" s="102"/>
      <c r="AC124" s="102"/>
      <c r="AD124" s="102"/>
      <c r="AE124" s="102"/>
      <c r="AF124" s="102"/>
      <c r="AG124" s="103"/>
      <c r="AH124" s="105"/>
      <c r="AI124" s="105"/>
      <c r="AJ124" s="105"/>
      <c r="AK124" s="105"/>
      <c r="AL124" s="105"/>
      <c r="AM124" s="105"/>
      <c r="AN124" s="105"/>
      <c r="AO124" s="103"/>
      <c r="AP124" s="105"/>
      <c r="AQ124" s="105"/>
      <c r="AR124" s="105"/>
      <c r="AS124" s="105"/>
    </row>
    <row r="125" spans="1:45" x14ac:dyDescent="0.25">
      <c r="A125" s="19">
        <v>39</v>
      </c>
      <c r="B125" s="12">
        <v>42268</v>
      </c>
      <c r="C125" s="12">
        <v>42274</v>
      </c>
      <c r="D125" s="12">
        <v>42254</v>
      </c>
      <c r="E125" s="12">
        <v>42261</v>
      </c>
      <c r="F125" s="12">
        <v>42268</v>
      </c>
      <c r="G125" s="12">
        <v>42261</v>
      </c>
      <c r="H125" s="13"/>
      <c r="R125" s="106"/>
      <c r="S125" s="106"/>
      <c r="T125" s="106"/>
      <c r="U125" s="106"/>
      <c r="V125" s="106"/>
      <c r="W125" s="106"/>
      <c r="X125" s="106"/>
      <c r="Z125" s="104"/>
      <c r="AA125" s="104"/>
      <c r="AB125" s="104"/>
      <c r="AC125" s="104"/>
      <c r="AD125" s="104"/>
      <c r="AE125" s="104"/>
      <c r="AF125" s="104"/>
    </row>
    <row r="126" spans="1:45" x14ac:dyDescent="0.25">
      <c r="A126" s="19">
        <v>40</v>
      </c>
      <c r="B126" s="12">
        <v>42275</v>
      </c>
      <c r="C126" s="12">
        <v>42281</v>
      </c>
      <c r="D126" s="12">
        <v>42261</v>
      </c>
      <c r="E126" s="12">
        <v>42268</v>
      </c>
      <c r="F126" s="12">
        <v>42275</v>
      </c>
      <c r="G126" s="12">
        <v>42268</v>
      </c>
      <c r="H126" s="13"/>
      <c r="R126" s="106"/>
      <c r="S126" s="106"/>
      <c r="T126" s="106"/>
      <c r="U126" s="106"/>
      <c r="V126" s="106"/>
      <c r="W126" s="106"/>
      <c r="X126" s="106"/>
      <c r="Z126" s="104"/>
      <c r="AA126" s="104"/>
      <c r="AB126" s="104"/>
      <c r="AC126" s="104"/>
      <c r="AD126" s="104"/>
      <c r="AE126" s="104"/>
      <c r="AF126" s="104"/>
    </row>
    <row r="127" spans="1:45" x14ac:dyDescent="0.25">
      <c r="A127" s="19">
        <v>41</v>
      </c>
      <c r="B127" s="12">
        <v>42282</v>
      </c>
      <c r="C127" s="12">
        <v>42288</v>
      </c>
      <c r="D127" s="12">
        <v>42268</v>
      </c>
      <c r="E127" s="12">
        <v>42275</v>
      </c>
      <c r="F127" s="12">
        <v>42282</v>
      </c>
      <c r="G127" s="12">
        <v>42275</v>
      </c>
      <c r="H127" s="13"/>
      <c r="R127" s="106"/>
      <c r="S127" s="106"/>
      <c r="T127" s="106"/>
      <c r="U127" s="106"/>
      <c r="V127" s="106"/>
      <c r="W127" s="106"/>
      <c r="X127" s="106"/>
      <c r="Z127" s="104"/>
      <c r="AA127" s="104"/>
      <c r="AB127" s="104"/>
      <c r="AC127" s="104"/>
      <c r="AD127" s="104"/>
      <c r="AE127" s="104"/>
      <c r="AF127" s="104"/>
    </row>
    <row r="128" spans="1:45" x14ac:dyDescent="0.25">
      <c r="A128" s="19">
        <v>42</v>
      </c>
      <c r="B128" s="12">
        <v>42289</v>
      </c>
      <c r="C128" s="12">
        <v>42295</v>
      </c>
      <c r="D128" s="12">
        <v>42275</v>
      </c>
      <c r="E128" s="12">
        <v>42282</v>
      </c>
      <c r="F128" s="12">
        <v>42289</v>
      </c>
      <c r="G128" s="12">
        <v>42282</v>
      </c>
      <c r="H128" s="13"/>
      <c r="R128" s="106"/>
      <c r="S128" s="106"/>
      <c r="T128" s="106"/>
      <c r="U128" s="106"/>
      <c r="V128" s="106"/>
      <c r="W128" s="106"/>
      <c r="X128" s="106"/>
      <c r="Z128" s="104"/>
      <c r="AA128" s="104"/>
      <c r="AB128" s="104"/>
      <c r="AC128" s="104"/>
      <c r="AD128" s="104"/>
      <c r="AE128" s="104"/>
      <c r="AF128" s="104"/>
    </row>
    <row r="129" spans="1:32" x14ac:dyDescent="0.25">
      <c r="A129" s="19">
        <v>43</v>
      </c>
      <c r="B129" s="12">
        <v>42296</v>
      </c>
      <c r="C129" s="12">
        <v>42302</v>
      </c>
      <c r="D129" s="12">
        <v>42282</v>
      </c>
      <c r="E129" s="12">
        <v>42289</v>
      </c>
      <c r="F129" s="12">
        <v>42296</v>
      </c>
      <c r="G129" s="12">
        <v>42289</v>
      </c>
      <c r="H129" s="13"/>
      <c r="R129" s="106"/>
      <c r="S129" s="106"/>
      <c r="T129" s="106"/>
      <c r="U129" s="106"/>
      <c r="V129" s="106"/>
      <c r="W129" s="106"/>
      <c r="X129" s="106"/>
      <c r="Z129" s="104"/>
      <c r="AA129" s="104"/>
      <c r="AB129" s="104"/>
      <c r="AC129" s="104"/>
      <c r="AD129" s="104"/>
      <c r="AE129" s="104"/>
      <c r="AF129" s="104"/>
    </row>
    <row r="130" spans="1:32" x14ac:dyDescent="0.25">
      <c r="A130" s="19">
        <v>44</v>
      </c>
      <c r="B130" s="12">
        <v>42303</v>
      </c>
      <c r="C130" s="12">
        <v>42309</v>
      </c>
      <c r="D130" s="12">
        <v>42289</v>
      </c>
      <c r="E130" s="12">
        <v>42296</v>
      </c>
      <c r="F130" s="12">
        <v>42303</v>
      </c>
      <c r="G130" s="12">
        <v>42296</v>
      </c>
      <c r="H130" s="13"/>
      <c r="R130" s="106"/>
      <c r="S130" s="106"/>
      <c r="T130" s="106"/>
      <c r="U130" s="106"/>
      <c r="V130" s="106"/>
      <c r="W130" s="106"/>
      <c r="X130" s="106"/>
      <c r="Z130" s="104"/>
      <c r="AA130" s="104"/>
      <c r="AB130" s="104"/>
      <c r="AC130" s="104"/>
      <c r="AD130" s="104"/>
      <c r="AE130" s="104"/>
      <c r="AF130" s="104"/>
    </row>
    <row r="131" spans="1:32" x14ac:dyDescent="0.25">
      <c r="A131" s="19">
        <v>45</v>
      </c>
      <c r="B131" s="12">
        <v>42310</v>
      </c>
      <c r="C131" s="12">
        <v>42316</v>
      </c>
      <c r="D131" s="12">
        <v>42296</v>
      </c>
      <c r="E131" s="12">
        <v>42303</v>
      </c>
      <c r="F131" s="12">
        <v>42310</v>
      </c>
      <c r="G131" s="12">
        <v>42303</v>
      </c>
      <c r="H131" s="13"/>
      <c r="R131" s="106"/>
      <c r="S131" s="106"/>
      <c r="T131" s="106"/>
      <c r="U131" s="106"/>
      <c r="V131" s="106"/>
      <c r="W131" s="106"/>
      <c r="X131" s="106"/>
      <c r="Z131" s="104"/>
      <c r="AA131" s="104"/>
      <c r="AB131" s="104"/>
      <c r="AC131" s="104"/>
      <c r="AD131" s="104"/>
      <c r="AE131" s="104"/>
      <c r="AF131" s="104"/>
    </row>
    <row r="132" spans="1:32" x14ac:dyDescent="0.25">
      <c r="A132" s="19">
        <v>46</v>
      </c>
      <c r="B132" s="12">
        <v>42317</v>
      </c>
      <c r="C132" s="12">
        <v>42323</v>
      </c>
      <c r="D132" s="12">
        <v>42303</v>
      </c>
      <c r="E132" s="12">
        <v>42310</v>
      </c>
      <c r="F132" s="12">
        <v>42317</v>
      </c>
      <c r="G132" s="12">
        <v>42310</v>
      </c>
      <c r="H132" s="13"/>
      <c r="R132" s="106"/>
      <c r="S132" s="106"/>
      <c r="T132" s="106"/>
      <c r="U132" s="106"/>
      <c r="V132" s="106"/>
      <c r="W132" s="106"/>
      <c r="X132" s="106"/>
      <c r="Z132" s="104"/>
      <c r="AA132" s="104"/>
      <c r="AB132" s="104"/>
      <c r="AC132" s="104"/>
      <c r="AD132" s="104"/>
      <c r="AE132" s="104"/>
      <c r="AF132" s="104"/>
    </row>
    <row r="133" spans="1:32" x14ac:dyDescent="0.25">
      <c r="A133" s="19">
        <v>47</v>
      </c>
      <c r="B133" s="12">
        <v>42324</v>
      </c>
      <c r="C133" s="12">
        <v>42330</v>
      </c>
      <c r="D133" s="12">
        <v>42310</v>
      </c>
      <c r="E133" s="12">
        <v>42317</v>
      </c>
      <c r="F133" s="12">
        <v>42324</v>
      </c>
      <c r="G133" s="12">
        <v>42317</v>
      </c>
      <c r="H133" s="13"/>
      <c r="R133" s="106"/>
      <c r="S133" s="106"/>
      <c r="T133" s="106"/>
      <c r="U133" s="106"/>
      <c r="V133" s="106"/>
      <c r="W133" s="106"/>
      <c r="X133" s="106"/>
      <c r="Z133" s="104"/>
      <c r="AA133" s="104"/>
      <c r="AB133" s="104"/>
      <c r="AC133" s="104"/>
      <c r="AD133" s="104"/>
      <c r="AE133" s="104"/>
      <c r="AF133" s="104"/>
    </row>
    <row r="134" spans="1:32" x14ac:dyDescent="0.25">
      <c r="A134" s="19">
        <v>48</v>
      </c>
      <c r="B134" s="12">
        <v>42331</v>
      </c>
      <c r="C134" s="12">
        <v>42337</v>
      </c>
      <c r="D134" s="12">
        <v>42317</v>
      </c>
      <c r="E134" s="12">
        <v>42324</v>
      </c>
      <c r="F134" s="12">
        <v>42331</v>
      </c>
      <c r="G134" s="12">
        <v>42324</v>
      </c>
      <c r="H134" s="13"/>
      <c r="R134" s="106"/>
      <c r="S134" s="106"/>
      <c r="T134" s="106"/>
      <c r="U134" s="106"/>
      <c r="V134" s="106"/>
      <c r="W134" s="106"/>
      <c r="X134" s="106"/>
      <c r="Z134" s="104"/>
      <c r="AA134" s="104"/>
      <c r="AB134" s="104"/>
      <c r="AC134" s="104"/>
      <c r="AD134" s="104"/>
      <c r="AE134" s="104"/>
      <c r="AF134" s="104"/>
    </row>
    <row r="135" spans="1:32" x14ac:dyDescent="0.25">
      <c r="A135" s="19">
        <v>49</v>
      </c>
      <c r="B135" s="12">
        <v>42338</v>
      </c>
      <c r="C135" s="12">
        <v>42344</v>
      </c>
      <c r="D135" s="12">
        <v>42324</v>
      </c>
      <c r="E135" s="12">
        <v>42331</v>
      </c>
      <c r="F135" s="12">
        <v>42338</v>
      </c>
      <c r="G135" s="12">
        <v>42331</v>
      </c>
      <c r="H135" s="13"/>
      <c r="R135" s="106"/>
      <c r="S135" s="106"/>
      <c r="T135" s="106"/>
      <c r="U135" s="106"/>
      <c r="V135" s="106"/>
      <c r="W135" s="106"/>
      <c r="X135" s="106"/>
    </row>
    <row r="136" spans="1:32" x14ac:dyDescent="0.25">
      <c r="A136" s="19">
        <v>50</v>
      </c>
      <c r="B136" s="12">
        <v>42345</v>
      </c>
      <c r="C136" s="12">
        <v>42351</v>
      </c>
      <c r="D136" s="12">
        <v>42331</v>
      </c>
      <c r="E136" s="12">
        <v>42338</v>
      </c>
      <c r="F136" s="12">
        <v>42345</v>
      </c>
      <c r="G136" s="12">
        <v>42338</v>
      </c>
      <c r="H136" s="13"/>
    </row>
    <row r="137" spans="1:32" x14ac:dyDescent="0.25">
      <c r="A137" s="19">
        <v>51</v>
      </c>
      <c r="B137" s="12">
        <v>42352</v>
      </c>
      <c r="C137" s="12">
        <v>42358</v>
      </c>
      <c r="D137" s="12">
        <v>42338</v>
      </c>
      <c r="E137" s="12">
        <v>42345</v>
      </c>
      <c r="F137" s="12">
        <v>42352</v>
      </c>
      <c r="G137" s="12">
        <v>42345</v>
      </c>
      <c r="H137" s="13"/>
    </row>
    <row r="138" spans="1:32" x14ac:dyDescent="0.25">
      <c r="A138" s="19">
        <v>52</v>
      </c>
      <c r="B138" s="12">
        <v>42359</v>
      </c>
      <c r="C138" s="12">
        <v>42365</v>
      </c>
      <c r="D138" s="12">
        <v>42345</v>
      </c>
      <c r="E138" s="12">
        <v>42352</v>
      </c>
      <c r="F138" s="12">
        <v>42359</v>
      </c>
      <c r="G138" s="12">
        <v>42352</v>
      </c>
      <c r="H138" s="13"/>
    </row>
    <row r="139" spans="1:32" x14ac:dyDescent="0.25">
      <c r="A139" s="20">
        <v>53</v>
      </c>
      <c r="B139" s="14">
        <v>42366</v>
      </c>
      <c r="C139" s="14">
        <v>42372</v>
      </c>
      <c r="D139" s="14">
        <v>42352</v>
      </c>
      <c r="E139" s="14">
        <v>42359</v>
      </c>
      <c r="F139" s="14">
        <v>42366</v>
      </c>
      <c r="G139" s="14">
        <v>42359</v>
      </c>
      <c r="H139" s="15"/>
    </row>
  </sheetData>
  <mergeCells count="5">
    <mergeCell ref="A2:B2"/>
    <mergeCell ref="A29:H29"/>
    <mergeCell ref="A85:H85"/>
    <mergeCell ref="D2:E2"/>
    <mergeCell ref="G2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UserInput</vt:lpstr>
      <vt:lpstr>PAYROLL</vt:lpstr>
      <vt:lpstr>REPORTS</vt:lpstr>
      <vt:lpstr>Tracking</vt:lpstr>
      <vt:lpstr>Tracking1</vt:lpstr>
      <vt:lpstr>Tracking2</vt:lpstr>
      <vt:lpstr>Tracking3</vt:lpstr>
      <vt:lpstr>EQLogs</vt:lpstr>
      <vt:lpstr>Reference</vt:lpstr>
      <vt:lpstr>tblPayroll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Cuilli</dc:creator>
  <cp:lastModifiedBy>Danielle Cuilli</cp:lastModifiedBy>
  <cp:lastPrinted>2015-08-11T15:47:10Z</cp:lastPrinted>
  <dcterms:created xsi:type="dcterms:W3CDTF">2015-06-14T20:34:55Z</dcterms:created>
  <dcterms:modified xsi:type="dcterms:W3CDTF">2015-08-24T18:44:41Z</dcterms:modified>
</cp:coreProperties>
</file>